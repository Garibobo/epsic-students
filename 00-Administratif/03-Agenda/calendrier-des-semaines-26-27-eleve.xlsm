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filterPrivacy="1" codeName="ThisWorkbook"/>
  <xr:revisionPtr revIDLastSave="0" documentId="13_ncr:1_{62A0655B-85B7-49E8-A4E1-3B8171D2EAD3}" xr6:coauthVersionLast="47" xr6:coauthVersionMax="47" xr10:uidLastSave="{00000000-0000-0000-0000-000000000000}"/>
  <bookViews>
    <workbookView xWindow="-120" yWindow="-120" windowWidth="29040" windowHeight="15720" tabRatio="720" xr2:uid="{00000000-000D-0000-FFFF-FFFF00000000}"/>
  </bookViews>
  <sheets>
    <sheet name="Semestre -1" sheetId="2" r:id="rId1"/>
    <sheet name="Semestre -2" sheetId="3" r:id="rId2"/>
    <sheet name="Mesam" sheetId="4" r:id="rId3"/>
    <sheet name="Comportement professionnelle" sheetId="5" r:id="rId4"/>
    <sheet name="Notes semestre 1 et 2" sheetId="6" r:id="rId5"/>
    <sheet name="Disposition-classe" sheetId="7" r:id="rId6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2" l="1"/>
  <c r="E7" i="2"/>
  <c r="G7" i="2"/>
  <c r="E13" i="2"/>
  <c r="G13" i="2"/>
  <c r="E19" i="2"/>
  <c r="G19" i="2"/>
  <c r="E25" i="2"/>
  <c r="G25" i="2"/>
  <c r="E31" i="2"/>
  <c r="G31" i="2"/>
  <c r="E38" i="2"/>
  <c r="G38" i="2"/>
  <c r="E44" i="2"/>
  <c r="G44" i="2"/>
  <c r="E51" i="2"/>
  <c r="G51" i="2"/>
  <c r="E52" i="2"/>
  <c r="G52" i="2"/>
  <c r="E53" i="2"/>
  <c r="G53" i="2"/>
  <c r="E61" i="2"/>
  <c r="G61" i="2"/>
  <c r="E68" i="2"/>
  <c r="G68" i="2"/>
  <c r="E75" i="2"/>
  <c r="G75" i="2"/>
  <c r="E81" i="2"/>
  <c r="G81" i="2"/>
  <c r="E87" i="2"/>
  <c r="G87" i="2"/>
  <c r="E93" i="2"/>
  <c r="G93" i="2"/>
  <c r="E99" i="2"/>
  <c r="G99" i="2"/>
  <c r="E105" i="2"/>
  <c r="G105" i="2"/>
  <c r="E106" i="2"/>
  <c r="G106" i="2"/>
  <c r="E107" i="2"/>
  <c r="G107" i="2"/>
  <c r="E114" i="2"/>
  <c r="G114" i="2"/>
  <c r="E5" i="3"/>
  <c r="G5" i="3"/>
  <c r="E11" i="3"/>
  <c r="G11" i="3"/>
  <c r="E13" i="3"/>
  <c r="G13" i="3"/>
  <c r="E19" i="3"/>
  <c r="G19" i="3"/>
  <c r="E25" i="3"/>
  <c r="G25" i="3"/>
  <c r="E32" i="3"/>
  <c r="G32" i="3"/>
  <c r="E38" i="3"/>
  <c r="G38" i="3"/>
  <c r="E44" i="3"/>
  <c r="G44" i="3"/>
  <c r="E50" i="3"/>
  <c r="G50" i="3"/>
  <c r="E56" i="3"/>
  <c r="G56" i="3"/>
  <c r="E62" i="3"/>
  <c r="G62" i="3"/>
  <c r="E69" i="3"/>
  <c r="G69" i="3"/>
  <c r="E75" i="3"/>
  <c r="G75" i="3"/>
  <c r="E81" i="3"/>
  <c r="G81" i="3"/>
  <c r="E87" i="3"/>
  <c r="G87" i="3"/>
  <c r="E93" i="3"/>
  <c r="G93" i="3"/>
  <c r="E99" i="3"/>
  <c r="G99" i="3"/>
  <c r="E105" i="3"/>
  <c r="G105" i="3"/>
  <c r="E111" i="3"/>
  <c r="G111" i="3"/>
  <c r="E117" i="3"/>
  <c r="G117" i="3"/>
  <c r="E123" i="3"/>
  <c r="G123" i="3"/>
  <c r="E130" i="3"/>
  <c r="G130" i="3"/>
  <c r="E131" i="3"/>
  <c r="G131" i="3"/>
  <c r="E132" i="3"/>
  <c r="G132" i="3"/>
  <c r="D11" i="3"/>
  <c r="D13" i="3"/>
  <c r="D25" i="3"/>
  <c r="D32" i="3"/>
  <c r="D38" i="3"/>
  <c r="P25" i="3"/>
  <c r="P24" i="3"/>
  <c r="P23" i="3"/>
  <c r="P22" i="3"/>
  <c r="P21" i="3"/>
  <c r="P20" i="3"/>
  <c r="P18" i="3"/>
  <c r="P16" i="3"/>
  <c r="P15" i="3"/>
  <c r="P14" i="3"/>
  <c r="P13" i="3"/>
  <c r="P12" i="3"/>
  <c r="H2" i="3"/>
  <c r="F1" i="3"/>
  <c r="O24" i="2"/>
  <c r="O23" i="2"/>
  <c r="O22" i="2"/>
  <c r="O21" i="2"/>
  <c r="O20" i="2"/>
  <c r="O19" i="2"/>
  <c r="O17" i="2"/>
  <c r="O15" i="2"/>
  <c r="O14" i="2"/>
  <c r="O13" i="2"/>
  <c r="O12" i="2"/>
  <c r="O11" i="2"/>
</calcChain>
</file>

<file path=xl/sharedStrings.xml><?xml version="1.0" encoding="utf-8"?>
<sst xmlns="http://schemas.openxmlformats.org/spreadsheetml/2006/main" count="418" uniqueCount="148">
  <si>
    <t>⟳ RESET</t>
  </si>
  <si>
    <t>Classe: IELE ELMO PELE</t>
  </si>
  <si>
    <t>Comportement professionnel</t>
  </si>
  <si>
    <t>Numéro de l'élève</t>
  </si>
  <si>
    <t>Nom prénom de l'élève</t>
  </si>
  <si>
    <t>Volta Amperini</t>
  </si>
  <si>
    <t>Nikola Wattson</t>
  </si>
  <si>
    <t>Ohm Sappeur</t>
  </si>
  <si>
    <t>Joule Flambant</t>
  </si>
  <si>
    <t>Hertz Clapotis</t>
  </si>
  <si>
    <t>Faraday Bricolo</t>
  </si>
  <si>
    <t>Tesla Zappeur</t>
  </si>
  <si>
    <t>Edison Filament</t>
  </si>
  <si>
    <t>Nom et prénom</t>
  </si>
  <si>
    <t>Soft skills</t>
  </si>
  <si>
    <t>SEMESTRE 1</t>
  </si>
  <si>
    <t>SEMESTRE 2</t>
  </si>
  <si>
    <t>Ponctualité</t>
  </si>
  <si>
    <t>Absences</t>
  </si>
  <si>
    <t>Travail à la maison</t>
  </si>
  <si>
    <t>Langage technique / professionnel</t>
  </si>
  <si>
    <t>Respect des règles / discipline</t>
  </si>
  <si>
    <t>Attitude / politesse</t>
  </si>
  <si>
    <t>Participation / implication</t>
  </si>
  <si>
    <t>Persévérance</t>
  </si>
  <si>
    <t>Travail en équipe</t>
  </si>
  <si>
    <t>Gestion du matériel / oublie</t>
  </si>
  <si>
    <t>Communication / écoute</t>
  </si>
  <si>
    <t>Autonomie / responsabilité</t>
  </si>
  <si>
    <t>Maximum de points</t>
  </si>
  <si>
    <t>Commentaires</t>
  </si>
  <si>
    <t>Futur chef de chantier — leadership naturel, modèle pour la classe !</t>
  </si>
  <si>
    <t>Excellent technicien — doit éviter le téléphone pendant les TPs</t>
  </si>
  <si>
    <t>Incroyable technicien — quelques retards mais rattrape toujours</t>
  </si>
  <si>
    <t>Toujours à l'heure, toujours prêt — élève de référence !</t>
  </si>
  <si>
    <t>Progression spectaculaire — effort personnel remarquable, bravo !</t>
  </si>
  <si>
    <t>Jamais sans ses outils, toujours prêt à aider ses camarades</t>
  </si>
  <si>
    <t>Moteur du groupe — entraîne ses camarades vers le haut naturellement</t>
  </si>
  <si>
    <t>Créatif et ultra-autonome — trouve toujours une solution innovante !</t>
  </si>
  <si>
    <t>Historique des commentaires des élèves</t>
  </si>
  <si>
    <t>Date</t>
  </si>
  <si>
    <t>Nom Prénom</t>
  </si>
  <si>
    <t>Critère</t>
  </si>
  <si>
    <t>Semestre</t>
  </si>
  <si>
    <t>Semestre 1</t>
  </si>
  <si>
    <t>Toujours 5 min en avance — donne le bon exemple à toute la classe</t>
  </si>
  <si>
    <t>Participe activement — énergie à canaliser pour ne pas perturber</t>
  </si>
  <si>
    <t>2 retards ce mois — rappel fait, amélioration visible dès la semaine suivante</t>
  </si>
  <si>
    <t>Semestre 2</t>
  </si>
  <si>
    <t>A aidé 3 camarades sur le TP câblage sans qu'on le lui demande — exemplaire !</t>
  </si>
  <si>
    <t>Progression spectaculaire S1-&gt;S2 — travail à la maison clairement visible</t>
  </si>
  <si>
    <t>Matériel toujours propre, rangé et étiqueté — félicitations sincères !</t>
  </si>
  <si>
    <t>Utilise parfaitement le vocabulaire NIBT en situation réelle — excellent</t>
  </si>
  <si>
    <t>Schémas maison très soignés avec annotations — dépasse largement les exigences</t>
  </si>
  <si>
    <t>Usage téléphone pendant TP câblage — avertissement formel donné</t>
  </si>
  <si>
    <t>Reformule parfaitement les consignes complexes — niveau de compréhension excellent</t>
  </si>
  <si>
    <t>Transformation remarquable — attitude professionnelle acquise en cours de semestre</t>
  </si>
  <si>
    <t>Organise spontanément le travail de son groupe — qualités managériales évidentes</t>
  </si>
  <si>
    <t>Nom de la classe: IELE/ELMOE/PELE</t>
  </si>
  <si>
    <t>Moyenne de la classe</t>
  </si>
  <si>
    <t>Classe très motivée — ambiance sérieuse et bienveillante, dynamisme collectif remarquable !</t>
  </si>
  <si>
    <t>Progression collective nette — esprit d'équipe et entraide au top. Classe à féliciter !</t>
  </si>
  <si>
    <t>Historique des commentaires de la classe</t>
  </si>
  <si>
    <t>IELE/ELMOE/PELE</t>
  </si>
  <si>
    <t>Comportement général</t>
  </si>
  <si>
    <t>Classe très engagée sur le TP câblage NIBT — concentration et sérieux remarquables !</t>
  </si>
  <si>
    <t>Gestion du matériel</t>
  </si>
  <si>
    <t>Atelier laissé impeccable après chaque séance — norme professionnelle respectée !</t>
  </si>
  <si>
    <t>Ponctualité collective</t>
  </si>
  <si>
    <t>Semaine parfaite : 0 retard sur l'ensemble de la classe — record à maintenir !</t>
  </si>
  <si>
    <t>TP en binôme réussi à 100% — entraide spontanée et efficace entre élèves</t>
  </si>
  <si>
    <t>Autonomie collective</t>
  </si>
  <si>
    <t>Les élèves anticipent les consignes et s'organisent seuls — maturité professionnelle !</t>
  </si>
  <si>
    <t>Langage professionnel</t>
  </si>
  <si>
    <t>Vocabulaire technique NIBT utilisé spontanément en atelier — objectif OrFo atteint !</t>
  </si>
  <si>
    <t>Tableau de numérotation des semaines</t>
  </si>
  <si>
    <t>année civile</t>
  </si>
  <si>
    <t>année scolaire</t>
  </si>
  <si>
    <t>du lundi …</t>
  </si>
  <si>
    <t>... au vendredi</t>
  </si>
  <si>
    <t>Semestre  1</t>
  </si>
  <si>
    <t>Semestre  2</t>
  </si>
  <si>
    <t>Horaires</t>
  </si>
  <si>
    <t>-</t>
  </si>
  <si>
    <t>Semaine sportive d'hiver</t>
  </si>
  <si>
    <t>Vacances scolaires</t>
  </si>
  <si>
    <t>.</t>
  </si>
  <si>
    <t>lundi : Pentecôte</t>
  </si>
  <si>
    <t>Semaine pédagogique</t>
  </si>
  <si>
    <t>Capacité des salles</t>
  </si>
  <si>
    <t>Salle 404</t>
  </si>
  <si>
    <t>Salle 405</t>
  </si>
  <si>
    <t>Jours fériés et vacances scolaires VD</t>
  </si>
  <si>
    <t>Salle 406</t>
  </si>
  <si>
    <t>Salle 408</t>
  </si>
  <si>
    <t>Photos des salles</t>
  </si>
  <si>
    <t> </t>
  </si>
  <si>
    <t>2026-27</t>
  </si>
  <si>
    <t xml:space="preserve">/- Présentation
- Qr plateforme
- Contrat de travail en classe
- Diverses informations
PPF: LECTURE INFORMATIONS SUR LA PLATE FORME </t>
  </si>
  <si>
    <t>Attention, seuls les 72 premiers inscrits à l’EPSIC pourront suivre le cours MAD dans notre établissement; une confirmation vous parviendra d’ici au 13 septembre.https://www.epsic.ch/informations-cours-mad/</t>
  </si>
  <si>
    <t>Journée sportive</t>
  </si>
  <si>
    <t xml:space="preserve">/- OBJECTIFS DU JOUR :
Questions plateforme ?
PPF:
</t>
  </si>
  <si>
    <t>Jours férié</t>
  </si>
  <si>
    <t xml:space="preserve">/- 
PPF:
</t>
  </si>
  <si>
    <t>Lundi du Jeûne : lu. 21 septembre 2025</t>
  </si>
  <si>
    <t>Vacances scolaires d'automnes 1</t>
  </si>
  <si>
    <t>Vacances scolaires d'automnes 2</t>
  </si>
  <si>
    <t>Démonstration outillage Wago etc.. /
Démonstration corde pompier, échelle etc…</t>
  </si>
  <si>
    <t>Nœud cordes, échelle de pompier etc….</t>
  </si>
  <si>
    <t>Vacances scolaires pour ceux du jeudi et vendredi seulement</t>
  </si>
  <si>
    <t>COURS POUR CEUX DU LUNDI à mercredi
ppf: Belles fêtes</t>
  </si>
  <si>
    <t>Vacances scolaires d'hiver 1</t>
  </si>
  <si>
    <t>Vacances scolaires d'hiver 2</t>
  </si>
  <si>
    <t xml:space="preserve">/- 
PPF: </t>
  </si>
  <si>
    <t>Diablerets luge Leysin Ski</t>
  </si>
  <si>
    <t>Fin du premier semestre et des notes22 janvier</t>
  </si>
  <si>
    <t>Vacances scolaires relâches</t>
  </si>
  <si>
    <t xml:space="preserve">Fin du premier semestre 22 janvier
/- 
PPF: </t>
  </si>
  <si>
    <t>Vendredi Saint : ve. 3 avril 2026</t>
  </si>
  <si>
    <t xml:space="preserve">/- 
PPF:
</t>
  </si>
  <si>
    <t>Vacances scolaires de Pâques 1</t>
  </si>
  <si>
    <t>Lundi de Pâques : lu.29 mars 2026</t>
  </si>
  <si>
    <t>Vacances scolaires de Pâques 2</t>
  </si>
  <si>
    <t>/- 
PPF:  pas de cours jeudi et vendredi prochain</t>
  </si>
  <si>
    <t>Jeudi et vendredi de l'Ascension : 6 - 7 mai 2027</t>
  </si>
  <si>
    <t xml:space="preserve">/- 
PPF: 
</t>
  </si>
  <si>
    <t>Lundi de Pentecôte : lu. 17 mai 2027</t>
  </si>
  <si>
    <t>Venu d'un expert d'un domaine (une entreprise locale /
 Visite d'une entreprise</t>
  </si>
  <si>
    <t>Visite d'une entreprise</t>
  </si>
  <si>
    <t>Au travail pas de cours EPSIC</t>
  </si>
  <si>
    <t xml:space="preserve">/- 
Semaine examens epsic Procédures de qualification
Épreuves de Culture générale + Connaissances professionnelles
PPF: </t>
  </si>
  <si>
    <t xml:space="preserve">/- 
Dernière semaine de cours
dimanche  13 juin fin du deuxième semestre
PPF: </t>
  </si>
  <si>
    <t xml:space="preserve">Venu d'un expert d'un domaine (une entreprise locale /
</t>
  </si>
  <si>
    <t>Semaine sportive</t>
  </si>
  <si>
    <t>Dorigny sports</t>
  </si>
  <si>
    <t xml:space="preserve">Formation des enseignants </t>
  </si>
  <si>
    <t>a.garibovic V- 23.7</t>
  </si>
  <si>
    <t>Attention vérifé sur le site de l'epsic certaine dates peuvent varié</t>
  </si>
  <si>
    <t>https://www.epsic.ch/agenda/</t>
  </si>
  <si>
    <t>Elève</t>
  </si>
  <si>
    <t>type de trbl.</t>
  </si>
  <si>
    <t>Armoires ECG</t>
  </si>
  <si>
    <t xml:space="preserve">Champion.ne. Fantastique </t>
  </si>
  <si>
    <t>Pupitre</t>
  </si>
  <si>
    <t>Amir 
Garibovic</t>
  </si>
  <si>
    <t>Tableau interactif</t>
  </si>
  <si>
    <r>
      <t>/- 
PPF:</t>
    </r>
    <r>
      <rPr>
        <sz val="12"/>
        <color rgb="FFFF0000"/>
        <rFont val="Arial"/>
        <family val="2"/>
      </rPr>
      <t xml:space="preserve"> Dernier jour du cours pour ceux du jeudi et vendredi</t>
    </r>
    <r>
      <rPr>
        <sz val="12"/>
        <color theme="1"/>
        <rFont val="Arial"/>
        <family val="2"/>
      </rPr>
      <t xml:space="preserve">
</t>
    </r>
  </si>
  <si>
    <t>Les inscriptions pour 2026-2027 s’ouvriront du lundi 24 août au vendredi 31 août.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</si>
</sst>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;@"/>
  </numFmts>
  <fonts count="5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6"/>
      <color theme="1"/>
      <name val="Calibri"/>
      <family val="2"/>
      <scheme val="minor"/>
    </font>
    <font>
      <sz val="12"/>
      <color rgb="FF000000"/>
      <name val="Times New Roman"/>
      <family val="1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2"/>
      <color rgb="FF808080"/>
      <name val="Arial"/>
      <family val="2"/>
    </font>
    <font>
      <b/>
      <sz val="12"/>
      <color rgb="FF000000"/>
      <name val="Times New Roman"/>
      <family val="1"/>
    </font>
    <font>
      <sz val="18"/>
      <color theme="8"/>
      <name val="Arial Black"/>
      <family val="2"/>
    </font>
    <font>
      <u/>
      <sz val="12"/>
      <color theme="10"/>
      <name val="Arial"/>
      <family val="2"/>
    </font>
    <font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Helvetica"/>
    </font>
    <font>
      <sz val="12"/>
      <color rgb="FFFF0000"/>
      <name val="Helvetica"/>
    </font>
    <font>
      <b/>
      <i/>
      <sz val="12"/>
      <color theme="1"/>
      <name val="Calibri"/>
      <family val="2"/>
      <scheme val="minor"/>
    </font>
    <font>
      <b/>
      <sz val="12"/>
      <color rgb="FFFF0000"/>
      <name val="Segoe UI"/>
      <family val="2"/>
    </font>
    <font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48"/>
      <color theme="1"/>
      <name val="Times New Roman"/>
      <family val="1"/>
    </font>
    <font>
      <sz val="18"/>
      <color theme="1"/>
      <name val="Times New Roman"/>
      <family val="1"/>
    </font>
    <font>
      <sz val="18"/>
      <color theme="1"/>
      <name val="Helvetica"/>
    </font>
    <font>
      <sz val="11"/>
      <color rgb="FFFF0000"/>
      <name val="Calibri"/>
      <family val="2"/>
      <scheme val="minor"/>
    </font>
    <font>
      <sz val="16"/>
      <color rgb="FFFF0000"/>
      <name val="Arial"/>
      <family val="2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indexed="8"/>
      <name val="Arial"/>
      <family val="2"/>
    </font>
    <font>
      <sz val="14"/>
      <name val="Arial"/>
      <family val="2"/>
    </font>
    <font>
      <b/>
      <sz val="16"/>
      <color indexed="8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rgb="FFFFFFFF"/>
      <name val="Calibri"/>
      <family val="2"/>
      <scheme val="minor"/>
    </font>
    <font>
      <b/>
      <sz val="20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2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1"/>
      <color theme="8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2"/>
      <color theme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rgb="FFD9E1F2"/>
        <bgColor indexed="64"/>
      </patternFill>
    </fill>
    <fill>
      <patternFill patternType="solid">
        <fgColor rgb="FFC00000"/>
        <bgColor indexed="64"/>
      </patternFill>
    </fill>
  </fills>
  <borders count="58">
    <border>
      <left/>
      <right/>
      <top/>
      <bottom/>
      <diagonal/>
    </border>
    <border>
      <left/>
      <right/>
      <top style="thin">
        <color rgb="FF959595"/>
      </top>
      <bottom/>
      <diagonal/>
    </border>
    <border>
      <left/>
      <right style="thin">
        <color rgb="FF959595"/>
      </right>
      <top style="thin">
        <color rgb="FF959595"/>
      </top>
      <bottom/>
      <diagonal/>
    </border>
    <border>
      <left style="thin">
        <color rgb="FF959595"/>
      </left>
      <right style="thin">
        <color rgb="FF959595"/>
      </right>
      <top/>
      <bottom style="thin">
        <color rgb="FF959595"/>
      </bottom>
      <diagonal/>
    </border>
    <border>
      <left/>
      <right/>
      <top/>
      <bottom style="thin">
        <color rgb="FF959595"/>
      </bottom>
      <diagonal/>
    </border>
    <border>
      <left/>
      <right style="thin">
        <color rgb="FF959595"/>
      </right>
      <top/>
      <bottom style="thin">
        <color rgb="FF959595"/>
      </bottom>
      <diagonal/>
    </border>
    <border>
      <left/>
      <right/>
      <top style="thin">
        <color rgb="FF959595"/>
      </top>
      <bottom style="thin">
        <color rgb="FF959595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959595"/>
      </left>
      <right/>
      <top/>
      <bottom/>
      <diagonal/>
    </border>
    <border>
      <left style="thin">
        <color rgb="FF959595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rgb="FF000000"/>
      </right>
      <top style="thin">
        <color auto="1"/>
      </top>
      <bottom/>
      <diagonal/>
    </border>
    <border>
      <left/>
      <right style="thick">
        <color rgb="FF000000"/>
      </right>
      <top style="thin">
        <color indexed="64"/>
      </top>
      <bottom/>
      <diagonal/>
    </border>
    <border>
      <left style="thin">
        <color auto="1"/>
      </left>
      <right style="thick">
        <color rgb="FF000000"/>
      </right>
      <top style="thin">
        <color rgb="FF808080"/>
      </top>
      <bottom style="thin">
        <color rgb="FF808080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 style="thick">
        <color rgb="FF000000"/>
      </right>
      <top/>
      <bottom style="thin">
        <color rgb="FF808080"/>
      </bottom>
      <diagonal/>
    </border>
    <border>
      <left/>
      <right/>
      <top/>
      <bottom style="thin">
        <color rgb="FF808080"/>
      </bottom>
      <diagonal/>
    </border>
    <border>
      <left style="thin">
        <color auto="1"/>
      </left>
      <right style="thick">
        <color rgb="FF000000"/>
      </right>
      <top style="thin">
        <color auto="1"/>
      </top>
      <bottom style="medium">
        <color rgb="FF000000"/>
      </bottom>
      <diagonal/>
    </border>
    <border>
      <left/>
      <right/>
      <top style="thin">
        <color auto="1"/>
      </top>
      <bottom style="medium">
        <color rgb="FF000000"/>
      </bottom>
      <diagonal/>
    </border>
    <border>
      <left/>
      <right style="thick">
        <color rgb="FF000000"/>
      </right>
      <top style="thin">
        <color auto="1"/>
      </top>
      <bottom style="medium">
        <color rgb="FF000000"/>
      </bottom>
      <diagonal/>
    </border>
    <border>
      <left style="thin">
        <color auto="1"/>
      </left>
      <right style="thick">
        <color rgb="FF000000"/>
      </right>
      <top style="thin">
        <color rgb="FF808080"/>
      </top>
      <bottom/>
      <diagonal/>
    </border>
    <border>
      <left style="thin">
        <color auto="1"/>
      </left>
      <right style="thick">
        <color rgb="FF000000"/>
      </right>
      <top style="medium">
        <color rgb="FF000000"/>
      </top>
      <bottom style="thin">
        <color auto="1"/>
      </bottom>
      <diagonal/>
    </border>
    <border>
      <left/>
      <right/>
      <top style="medium">
        <color rgb="FF000000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ck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rgb="FF808080"/>
      </bottom>
      <diagonal/>
    </border>
    <border>
      <left style="thin">
        <color auto="1"/>
      </left>
      <right/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 style="thin">
        <color rgb="FF808080"/>
      </top>
      <bottom/>
      <diagonal/>
    </border>
    <border>
      <left style="thin">
        <color auto="1"/>
      </left>
      <right/>
      <top style="medium">
        <color rgb="FF000000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rgb="FF959595"/>
      </left>
      <right style="thin">
        <color rgb="FF959595"/>
      </right>
      <top style="thin">
        <color rgb="FF959595"/>
      </top>
      <bottom style="thin">
        <color rgb="FF959595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ck">
        <color rgb="FF000000"/>
      </left>
      <right style="thick">
        <color rgb="FF000000"/>
      </right>
      <top style="thin">
        <color indexed="64"/>
      </top>
      <bottom style="thin">
        <color auto="1"/>
      </bottom>
      <diagonal/>
    </border>
    <border>
      <left/>
      <right style="thick">
        <color rgb="FF000000"/>
      </right>
      <top style="thin">
        <color indexed="64"/>
      </top>
      <bottom style="thin">
        <color auto="1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8" fillId="5" borderId="0"/>
    <xf numFmtId="0" fontId="23" fillId="10" borderId="0"/>
    <xf numFmtId="0" fontId="36" fillId="13" borderId="0"/>
    <xf numFmtId="0" fontId="8" fillId="14" borderId="0"/>
  </cellStyleXfs>
  <cellXfs count="198">
    <xf numFmtId="0" fontId="0" fillId="0" borderId="0" xfId="0"/>
    <xf numFmtId="0" fontId="0" fillId="0" borderId="0" xfId="0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4" fillId="0" borderId="4" xfId="0" applyNumberFormat="1" applyFont="1" applyBorder="1" applyAlignment="1">
      <alignment horizontal="center" vertical="center"/>
    </xf>
    <xf numFmtId="20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4" xfId="0" applyFont="1" applyFill="1" applyBorder="1" applyAlignment="1">
      <alignment vertical="center" wrapText="1"/>
    </xf>
    <xf numFmtId="0" fontId="9" fillId="0" borderId="13" xfId="0" applyFont="1" applyBorder="1"/>
    <xf numFmtId="0" fontId="9" fillId="0" borderId="14" xfId="0" applyFont="1" applyBorder="1"/>
    <xf numFmtId="20" fontId="11" fillId="0" borderId="15" xfId="0" applyNumberFormat="1" applyFont="1" applyBorder="1" applyAlignment="1">
      <alignment horizontal="center" vertical="center"/>
    </xf>
    <xf numFmtId="20" fontId="11" fillId="0" borderId="16" xfId="0" applyNumberFormat="1" applyFont="1" applyBorder="1" applyAlignment="1">
      <alignment horizontal="center" vertical="center"/>
    </xf>
    <xf numFmtId="0" fontId="12" fillId="2" borderId="3" xfId="0" applyFont="1" applyFill="1" applyBorder="1" applyAlignment="1">
      <alignment horizontal="center" vertical="center"/>
    </xf>
    <xf numFmtId="0" fontId="12" fillId="2" borderId="5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164" fontId="13" fillId="0" borderId="4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/>
    <xf numFmtId="0" fontId="15" fillId="0" borderId="5" xfId="0" applyFont="1" applyBorder="1" applyAlignment="1">
      <alignment vertical="center" wrapText="1"/>
    </xf>
    <xf numFmtId="0" fontId="18" fillId="0" borderId="5" xfId="0" applyFont="1" applyBorder="1" applyAlignment="1">
      <alignment vertical="center" wrapText="1"/>
    </xf>
    <xf numFmtId="0" fontId="18" fillId="3" borderId="5" xfId="0" applyFont="1" applyFill="1" applyBorder="1" applyAlignment="1">
      <alignment vertical="center" wrapText="1"/>
    </xf>
    <xf numFmtId="0" fontId="9" fillId="0" borderId="0" xfId="0" applyFont="1" applyAlignment="1">
      <alignment vertical="center"/>
    </xf>
    <xf numFmtId="0" fontId="0" fillId="0" borderId="13" xfId="0" applyBorder="1"/>
    <xf numFmtId="0" fontId="0" fillId="0" borderId="14" xfId="0" applyBorder="1"/>
    <xf numFmtId="0" fontId="18" fillId="0" borderId="8" xfId="0" applyFont="1" applyBorder="1" applyAlignment="1">
      <alignment vertical="center" wrapText="1"/>
    </xf>
    <xf numFmtId="0" fontId="18" fillId="0" borderId="9" xfId="0" applyFont="1" applyBorder="1" applyAlignment="1">
      <alignment vertical="center" wrapText="1"/>
    </xf>
    <xf numFmtId="0" fontId="18" fillId="2" borderId="4" xfId="0" applyFont="1" applyFill="1" applyBorder="1" applyAlignment="1">
      <alignment horizontal="center" vertical="center" wrapText="1"/>
    </xf>
    <xf numFmtId="164" fontId="12" fillId="0" borderId="4" xfId="0" applyNumberFormat="1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20" fillId="0" borderId="4" xfId="0" applyFont="1" applyBorder="1" applyAlignment="1">
      <alignment vertical="center" wrapText="1"/>
    </xf>
    <xf numFmtId="0" fontId="15" fillId="0" borderId="4" xfId="0" applyFont="1" applyBorder="1" applyAlignment="1">
      <alignment vertical="center" wrapText="1"/>
    </xf>
    <xf numFmtId="0" fontId="21" fillId="2" borderId="5" xfId="0" applyFont="1" applyFill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11" fillId="0" borderId="10" xfId="0" applyFont="1" applyBorder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Font="1"/>
    <xf numFmtId="0" fontId="22" fillId="0" borderId="0" xfId="1" applyFont="1" applyAlignment="1">
      <alignment horizontal="left" vertical="center"/>
    </xf>
    <xf numFmtId="0" fontId="19" fillId="2" borderId="4" xfId="0" applyFont="1" applyFill="1" applyBorder="1" applyAlignment="1">
      <alignment horizontal="center" vertical="center" textRotation="90" wrapText="1"/>
    </xf>
    <xf numFmtId="0" fontId="21" fillId="2" borderId="4" xfId="0" applyFont="1" applyFill="1" applyBorder="1" applyAlignment="1">
      <alignment horizontal="center" vertical="center" wrapText="1"/>
    </xf>
    <xf numFmtId="20" fontId="10" fillId="0" borderId="13" xfId="0" applyNumberFormat="1" applyFont="1" applyBorder="1" applyAlignment="1">
      <alignment horizontal="center" vertical="center"/>
    </xf>
    <xf numFmtId="20" fontId="10" fillId="0" borderId="14" xfId="0" applyNumberFormat="1" applyFont="1" applyBorder="1" applyAlignment="1">
      <alignment horizontal="center" vertical="center"/>
    </xf>
    <xf numFmtId="20" fontId="10" fillId="0" borderId="15" xfId="0" applyNumberFormat="1" applyFont="1" applyBorder="1" applyAlignment="1">
      <alignment horizontal="center" vertical="center"/>
    </xf>
    <xf numFmtId="20" fontId="10" fillId="0" borderId="16" xfId="0" applyNumberFormat="1" applyFont="1" applyBorder="1" applyAlignment="1">
      <alignment horizontal="center" vertical="center"/>
    </xf>
    <xf numFmtId="0" fontId="25" fillId="0" borderId="0" xfId="0" applyFont="1"/>
    <xf numFmtId="0" fontId="27" fillId="0" borderId="0" xfId="0" applyFont="1"/>
    <xf numFmtId="0" fontId="11" fillId="0" borderId="11" xfId="0" applyFont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0" fontId="11" fillId="0" borderId="2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7" borderId="0" xfId="0" applyFill="1"/>
    <xf numFmtId="164" fontId="13" fillId="8" borderId="4" xfId="0" applyNumberFormat="1" applyFont="1" applyFill="1" applyBorder="1" applyAlignment="1">
      <alignment horizontal="center" vertical="center"/>
    </xf>
    <xf numFmtId="164" fontId="4" fillId="8" borderId="4" xfId="0" applyNumberFormat="1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vertical="center" wrapText="1"/>
    </xf>
    <xf numFmtId="164" fontId="13" fillId="9" borderId="4" xfId="0" applyNumberFormat="1" applyFont="1" applyFill="1" applyBorder="1" applyAlignment="1">
      <alignment horizontal="center" vertical="center"/>
    </xf>
    <xf numFmtId="164" fontId="4" fillId="9" borderId="4" xfId="0" applyNumberFormat="1" applyFont="1" applyFill="1" applyBorder="1" applyAlignment="1">
      <alignment horizontal="center" vertical="center"/>
    </xf>
    <xf numFmtId="0" fontId="11" fillId="9" borderId="0" xfId="0" applyFont="1" applyFill="1"/>
    <xf numFmtId="0" fontId="0" fillId="9" borderId="0" xfId="0" applyFill="1"/>
    <xf numFmtId="0" fontId="15" fillId="9" borderId="5" xfId="0" applyFont="1" applyFill="1" applyBorder="1" applyAlignment="1">
      <alignment vertical="center" wrapText="1"/>
    </xf>
    <xf numFmtId="0" fontId="18" fillId="9" borderId="5" xfId="0" applyFont="1" applyFill="1" applyBorder="1" applyAlignment="1">
      <alignment vertical="center" wrapText="1"/>
    </xf>
    <xf numFmtId="0" fontId="28" fillId="7" borderId="0" xfId="0" applyFont="1" applyFill="1"/>
    <xf numFmtId="164" fontId="13" fillId="11" borderId="4" xfId="0" applyNumberFormat="1" applyFont="1" applyFill="1" applyBorder="1" applyAlignment="1">
      <alignment horizontal="center" vertical="center"/>
    </xf>
    <xf numFmtId="164" fontId="4" fillId="11" borderId="4" xfId="0" applyNumberFormat="1" applyFont="1" applyFill="1" applyBorder="1" applyAlignment="1">
      <alignment horizontal="center" vertical="center"/>
    </xf>
    <xf numFmtId="0" fontId="18" fillId="11" borderId="5" xfId="0" applyFont="1" applyFill="1" applyBorder="1" applyAlignment="1">
      <alignment vertical="center" wrapText="1"/>
    </xf>
    <xf numFmtId="0" fontId="11" fillId="11" borderId="0" xfId="0" applyFont="1" applyFill="1"/>
    <xf numFmtId="0" fontId="0" fillId="11" borderId="0" xfId="0" applyFill="1"/>
    <xf numFmtId="0" fontId="15" fillId="11" borderId="5" xfId="0" applyFont="1" applyFill="1" applyBorder="1" applyAlignment="1">
      <alignment vertical="center" wrapText="1"/>
    </xf>
    <xf numFmtId="0" fontId="18" fillId="11" borderId="5" xfId="0" applyFont="1" applyFill="1" applyBorder="1" applyAlignment="1">
      <alignment vertical="center"/>
    </xf>
    <xf numFmtId="0" fontId="11" fillId="11" borderId="0" xfId="0" applyFont="1" applyFill="1" applyAlignment="1">
      <alignment vertical="center"/>
    </xf>
    <xf numFmtId="0" fontId="26" fillId="9" borderId="0" xfId="0" applyFont="1" applyFill="1"/>
    <xf numFmtId="0" fontId="0" fillId="12" borderId="24" xfId="0" applyFill="1" applyBorder="1"/>
    <xf numFmtId="0" fontId="0" fillId="12" borderId="25" xfId="0" applyFill="1" applyBorder="1"/>
    <xf numFmtId="0" fontId="29" fillId="10" borderId="23" xfId="4" applyFont="1" applyBorder="1"/>
    <xf numFmtId="0" fontId="30" fillId="10" borderId="23" xfId="4" applyFont="1" applyBorder="1" applyAlignment="1">
      <alignment horizontal="center" vertical="top"/>
    </xf>
    <xf numFmtId="0" fontId="31" fillId="12" borderId="23" xfId="4" applyFont="1" applyFill="1" applyBorder="1" applyAlignment="1">
      <alignment horizontal="left" vertical="top"/>
    </xf>
    <xf numFmtId="0" fontId="33" fillId="0" borderId="0" xfId="0" applyFont="1"/>
    <xf numFmtId="0" fontId="35" fillId="12" borderId="0" xfId="0" applyFont="1" applyFill="1" applyAlignment="1">
      <alignment horizontal="center" wrapText="1"/>
    </xf>
    <xf numFmtId="0" fontId="34" fillId="12" borderId="0" xfId="0" applyFont="1" applyFill="1" applyAlignment="1">
      <alignment horizontal="center"/>
    </xf>
    <xf numFmtId="0" fontId="0" fillId="12" borderId="0" xfId="0" applyFill="1"/>
    <xf numFmtId="0" fontId="14" fillId="0" borderId="0" xfId="0" applyFont="1" applyAlignment="1">
      <alignment vertical="top"/>
    </xf>
    <xf numFmtId="0" fontId="8" fillId="14" borderId="0" xfId="6" applyAlignment="1">
      <alignment horizontal="center"/>
    </xf>
    <xf numFmtId="0" fontId="36" fillId="13" borderId="0" xfId="5" applyAlignment="1">
      <alignment horizontal="center"/>
    </xf>
    <xf numFmtId="0" fontId="0" fillId="0" borderId="22" xfId="0" applyBorder="1"/>
    <xf numFmtId="0" fontId="0" fillId="0" borderId="19" xfId="0" applyBorder="1"/>
    <xf numFmtId="0" fontId="38" fillId="0" borderId="26" xfId="0" applyFont="1" applyBorder="1" applyAlignment="1" applyProtection="1">
      <alignment horizontal="center" vertical="justify"/>
      <protection locked="0"/>
    </xf>
    <xf numFmtId="0" fontId="38" fillId="0" borderId="27" xfId="0" applyFont="1" applyBorder="1" applyAlignment="1" applyProtection="1">
      <alignment horizontal="center" vertical="justify"/>
      <protection locked="0"/>
    </xf>
    <xf numFmtId="0" fontId="39" fillId="0" borderId="26" xfId="0" applyFont="1" applyBorder="1" applyAlignment="1" applyProtection="1">
      <alignment horizontal="center" vertical="justify"/>
      <protection locked="0"/>
    </xf>
    <xf numFmtId="0" fontId="39" fillId="0" borderId="27" xfId="0" applyFont="1" applyBorder="1" applyAlignment="1" applyProtection="1">
      <alignment horizontal="center" vertical="justify"/>
      <protection locked="0"/>
    </xf>
    <xf numFmtId="0" fontId="39" fillId="0" borderId="28" xfId="0" applyFont="1" applyBorder="1" applyAlignment="1" applyProtection="1">
      <alignment horizontal="center" vertical="justify"/>
      <protection locked="0"/>
    </xf>
    <xf numFmtId="0" fontId="0" fillId="0" borderId="15" xfId="0" applyBorder="1"/>
    <xf numFmtId="0" fontId="0" fillId="0" borderId="29" xfId="0" applyBorder="1"/>
    <xf numFmtId="0" fontId="0" fillId="0" borderId="16" xfId="0" applyBorder="1"/>
    <xf numFmtId="0" fontId="31" fillId="12" borderId="24" xfId="4" applyFont="1" applyFill="1" applyBorder="1" applyAlignment="1">
      <alignment horizontal="left" vertical="top"/>
    </xf>
    <xf numFmtId="0" fontId="29" fillId="10" borderId="30" xfId="4" applyFont="1" applyBorder="1"/>
    <xf numFmtId="0" fontId="30" fillId="10" borderId="30" xfId="4" applyFont="1" applyBorder="1" applyAlignment="1">
      <alignment horizontal="center" vertical="top"/>
    </xf>
    <xf numFmtId="0" fontId="30" fillId="10" borderId="32" xfId="4" applyFont="1" applyBorder="1" applyAlignment="1">
      <alignment horizontal="center" vertical="top"/>
    </xf>
    <xf numFmtId="0" fontId="32" fillId="10" borderId="33" xfId="4" applyFont="1" applyBorder="1"/>
    <xf numFmtId="0" fontId="30" fillId="10" borderId="35" xfId="4" applyFont="1" applyBorder="1" applyAlignment="1">
      <alignment horizontal="center" vertical="top"/>
    </xf>
    <xf numFmtId="0" fontId="29" fillId="10" borderId="36" xfId="4" applyFont="1" applyBorder="1"/>
    <xf numFmtId="0" fontId="30" fillId="10" borderId="37" xfId="4" applyFont="1" applyBorder="1" applyAlignment="1">
      <alignment horizontal="center" vertical="top"/>
    </xf>
    <xf numFmtId="0" fontId="29" fillId="10" borderId="38" xfId="4" applyFont="1" applyBorder="1"/>
    <xf numFmtId="0" fontId="30" fillId="10" borderId="39" xfId="4" applyFont="1" applyBorder="1" applyAlignment="1">
      <alignment horizontal="center" vertical="top"/>
    </xf>
    <xf numFmtId="0" fontId="42" fillId="10" borderId="40" xfId="4" applyFont="1" applyBorder="1" applyAlignment="1">
      <alignment horizontal="center" vertical="center" wrapText="1"/>
    </xf>
    <xf numFmtId="0" fontId="42" fillId="10" borderId="41" xfId="4" applyFont="1" applyBorder="1" applyAlignment="1">
      <alignment horizontal="center" vertical="center" wrapText="1"/>
    </xf>
    <xf numFmtId="0" fontId="30" fillId="10" borderId="42" xfId="4" applyFont="1" applyBorder="1" applyAlignment="1">
      <alignment horizontal="center" vertical="top"/>
    </xf>
    <xf numFmtId="0" fontId="30" fillId="10" borderId="43" xfId="4" applyFont="1" applyBorder="1" applyAlignment="1">
      <alignment horizontal="center" vertical="top"/>
    </xf>
    <xf numFmtId="0" fontId="29" fillId="10" borderId="44" xfId="4" applyFont="1" applyBorder="1"/>
    <xf numFmtId="0" fontId="43" fillId="15" borderId="17" xfId="0" applyFont="1" applyFill="1" applyBorder="1" applyAlignment="1">
      <alignment horizontal="center"/>
    </xf>
    <xf numFmtId="0" fontId="43" fillId="15" borderId="8" xfId="0" applyFont="1" applyFill="1" applyBorder="1" applyAlignment="1">
      <alignment horizontal="center"/>
    </xf>
    <xf numFmtId="0" fontId="44" fillId="16" borderId="0" xfId="0" applyFont="1" applyFill="1" applyAlignment="1">
      <alignment horizontal="center" vertical="center"/>
    </xf>
    <xf numFmtId="0" fontId="45" fillId="10" borderId="23" xfId="4" applyFont="1" applyBorder="1" applyAlignment="1">
      <alignment horizontal="center" vertical="top"/>
    </xf>
    <xf numFmtId="0" fontId="29" fillId="10" borderId="0" xfId="4" applyFont="1"/>
    <xf numFmtId="0" fontId="43" fillId="10" borderId="32" xfId="4" applyFont="1" applyBorder="1" applyAlignment="1">
      <alignment horizontal="center" vertical="top"/>
    </xf>
    <xf numFmtId="0" fontId="30" fillId="10" borderId="47" xfId="4" applyFont="1" applyBorder="1" applyAlignment="1">
      <alignment horizontal="center" vertical="top"/>
    </xf>
    <xf numFmtId="0" fontId="30" fillId="10" borderId="48" xfId="4" applyFont="1" applyBorder="1" applyAlignment="1">
      <alignment horizontal="center" vertical="top"/>
    </xf>
    <xf numFmtId="0" fontId="30" fillId="10" borderId="49" xfId="4" applyFont="1" applyBorder="1" applyAlignment="1">
      <alignment horizontal="center" vertical="top"/>
    </xf>
    <xf numFmtId="0" fontId="30" fillId="10" borderId="50" xfId="4" applyFont="1" applyBorder="1" applyAlignment="1">
      <alignment horizontal="center" vertical="top"/>
    </xf>
    <xf numFmtId="0" fontId="42" fillId="10" borderId="51" xfId="4" applyFont="1" applyBorder="1" applyAlignment="1">
      <alignment horizontal="center" vertical="center" wrapText="1"/>
    </xf>
    <xf numFmtId="0" fontId="29" fillId="10" borderId="23" xfId="4" applyFont="1" applyBorder="1" applyAlignment="1">
      <alignment horizontal="center" vertical="center"/>
    </xf>
    <xf numFmtId="0" fontId="30" fillId="15" borderId="0" xfId="0" applyFont="1" applyFill="1" applyAlignment="1">
      <alignment horizontal="left"/>
    </xf>
    <xf numFmtId="0" fontId="25" fillId="12" borderId="0" xfId="0" applyFont="1" applyFill="1"/>
    <xf numFmtId="0" fontId="47" fillId="15" borderId="0" xfId="0" applyFont="1" applyFill="1" applyAlignment="1">
      <alignment horizontal="left"/>
    </xf>
    <xf numFmtId="0" fontId="25" fillId="0" borderId="0" xfId="0" applyFont="1" applyAlignment="1">
      <alignment horizontal="center"/>
    </xf>
    <xf numFmtId="22" fontId="25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10" fillId="6" borderId="5" xfId="0" applyFont="1" applyFill="1" applyBorder="1" applyAlignment="1">
      <alignment vertical="center" wrapText="1"/>
    </xf>
    <xf numFmtId="0" fontId="0" fillId="6" borderId="0" xfId="0" applyFill="1"/>
    <xf numFmtId="0" fontId="46" fillId="0" borderId="0" xfId="0" applyFont="1"/>
    <xf numFmtId="0" fontId="11" fillId="11" borderId="0" xfId="0" applyFont="1" applyFill="1" applyAlignment="1">
      <alignment horizontal="center" vertical="center" wrapText="1"/>
    </xf>
    <xf numFmtId="164" fontId="13" fillId="11" borderId="4" xfId="0" applyNumberFormat="1" applyFont="1" applyFill="1" applyBorder="1" applyAlignment="1">
      <alignment horizontal="center" vertical="center" wrapText="1"/>
    </xf>
    <xf numFmtId="164" fontId="13" fillId="12" borderId="4" xfId="0" applyNumberFormat="1" applyFont="1" applyFill="1" applyBorder="1" applyAlignment="1">
      <alignment horizontal="center" vertical="center"/>
    </xf>
    <xf numFmtId="164" fontId="4" fillId="12" borderId="4" xfId="0" applyNumberFormat="1" applyFont="1" applyFill="1" applyBorder="1" applyAlignment="1">
      <alignment horizontal="center" vertical="center"/>
    </xf>
    <xf numFmtId="0" fontId="18" fillId="12" borderId="5" xfId="0" applyFont="1" applyFill="1" applyBorder="1" applyAlignment="1">
      <alignment vertical="center" wrapText="1"/>
    </xf>
    <xf numFmtId="0" fontId="11" fillId="12" borderId="0" xfId="0" applyFont="1" applyFill="1"/>
    <xf numFmtId="0" fontId="11" fillId="12" borderId="0" xfId="0" applyFont="1" applyFill="1" applyAlignment="1">
      <alignment horizontal="center"/>
    </xf>
    <xf numFmtId="0" fontId="37" fillId="0" borderId="0" xfId="0" applyFont="1" applyAlignment="1">
      <alignment horizontal="center"/>
    </xf>
    <xf numFmtId="0" fontId="10" fillId="6" borderId="0" xfId="0" applyFont="1" applyFill="1" applyAlignment="1">
      <alignment horizontal="center" wrapText="1"/>
    </xf>
    <xf numFmtId="0" fontId="11" fillId="11" borderId="0" xfId="0" applyFont="1" applyFill="1" applyAlignment="1">
      <alignment horizontal="center"/>
    </xf>
    <xf numFmtId="0" fontId="49" fillId="0" borderId="0" xfId="0" applyFont="1"/>
    <xf numFmtId="0" fontId="50" fillId="0" borderId="0" xfId="0" applyFont="1"/>
    <xf numFmtId="0" fontId="51" fillId="0" borderId="0" xfId="2" applyFont="1"/>
    <xf numFmtId="0" fontId="52" fillId="0" borderId="0" xfId="0" applyFont="1"/>
    <xf numFmtId="0" fontId="53" fillId="0" borderId="0" xfId="0" applyFont="1"/>
    <xf numFmtId="0" fontId="24" fillId="5" borderId="10" xfId="3" applyFont="1" applyBorder="1" applyAlignment="1">
      <alignment horizontal="center"/>
    </xf>
    <xf numFmtId="0" fontId="0" fillId="0" borderId="19" xfId="0" applyBorder="1"/>
    <xf numFmtId="0" fontId="11" fillId="0" borderId="26" xfId="0" applyFont="1" applyBorder="1" applyAlignment="1">
      <alignment horizontal="center" vertical="center" wrapText="1"/>
    </xf>
    <xf numFmtId="0" fontId="0" fillId="0" borderId="11" xfId="0" applyBorder="1"/>
    <xf numFmtId="0" fontId="0" fillId="0" borderId="12" xfId="0" applyBorder="1"/>
    <xf numFmtId="0" fontId="11" fillId="9" borderId="26" xfId="0" applyFont="1" applyFill="1" applyBorder="1" applyAlignment="1">
      <alignment horizontal="center" vertical="center" wrapText="1"/>
    </xf>
    <xf numFmtId="0" fontId="10" fillId="6" borderId="26" xfId="0" applyFont="1" applyFill="1" applyBorder="1" applyAlignment="1">
      <alignment horizontal="center" vertical="center" wrapText="1"/>
    </xf>
    <xf numFmtId="0" fontId="7" fillId="4" borderId="8" xfId="1" applyFont="1" applyFill="1" applyBorder="1" applyAlignment="1">
      <alignment horizontal="center" vertical="center" wrapText="1"/>
    </xf>
    <xf numFmtId="0" fontId="0" fillId="0" borderId="18" xfId="0" applyBorder="1"/>
    <xf numFmtId="0" fontId="11" fillId="11" borderId="26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vertical="center" wrapText="1"/>
    </xf>
    <xf numFmtId="0" fontId="0" fillId="0" borderId="1" xfId="0" applyBorder="1"/>
    <xf numFmtId="0" fontId="0" fillId="0" borderId="2" xfId="0" applyBorder="1"/>
    <xf numFmtId="0" fontId="17" fillId="0" borderId="6" xfId="0" applyFont="1" applyBorder="1" applyAlignment="1">
      <alignment horizontal="center" vertical="center" wrapText="1"/>
    </xf>
    <xf numFmtId="0" fontId="0" fillId="0" borderId="6" xfId="0" applyBorder="1"/>
    <xf numFmtId="0" fontId="6" fillId="0" borderId="7" xfId="0" applyFont="1" applyBorder="1" applyAlignment="1">
      <alignment horizontal="center" vertical="center" wrapText="1"/>
    </xf>
    <xf numFmtId="0" fontId="0" fillId="0" borderId="7" xfId="0" applyBorder="1"/>
    <xf numFmtId="0" fontId="19" fillId="2" borderId="52" xfId="0" applyFont="1" applyFill="1" applyBorder="1" applyAlignment="1">
      <alignment horizontal="center" vertical="center" textRotation="90" wrapText="1"/>
    </xf>
    <xf numFmtId="0" fontId="0" fillId="0" borderId="3" xfId="0" applyBorder="1"/>
    <xf numFmtId="0" fontId="11" fillId="0" borderId="10" xfId="0" applyFont="1" applyBorder="1" applyAlignment="1">
      <alignment horizontal="center" vertical="center" wrapText="1"/>
    </xf>
    <xf numFmtId="0" fontId="0" fillId="0" borderId="0" xfId="0"/>
    <xf numFmtId="0" fontId="18" fillId="6" borderId="26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20" xfId="0" applyFont="1" applyBorder="1" applyAlignment="1">
      <alignment horizontal="center"/>
    </xf>
    <xf numFmtId="0" fontId="11" fillId="8" borderId="20" xfId="0" applyFont="1" applyFill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0" fillId="0" borderId="22" xfId="0" applyBorder="1"/>
    <xf numFmtId="0" fontId="16" fillId="2" borderId="2" xfId="0" applyFont="1" applyFill="1" applyBorder="1" applyAlignment="1">
      <alignment vertical="center" wrapText="1"/>
    </xf>
    <xf numFmtId="0" fontId="10" fillId="0" borderId="6" xfId="0" applyFont="1" applyBorder="1" applyAlignment="1">
      <alignment horizontal="center" vertical="center" wrapText="1"/>
    </xf>
    <xf numFmtId="0" fontId="0" fillId="0" borderId="34" xfId="0" applyBorder="1"/>
    <xf numFmtId="0" fontId="32" fillId="10" borderId="31" xfId="4" applyFont="1" applyBorder="1" applyAlignment="1">
      <alignment horizontal="center" vertical="top"/>
    </xf>
    <xf numFmtId="0" fontId="0" fillId="0" borderId="31" xfId="0" applyBorder="1"/>
    <xf numFmtId="0" fontId="0" fillId="0" borderId="56" xfId="0" applyBorder="1"/>
    <xf numFmtId="0" fontId="0" fillId="0" borderId="57" xfId="0" applyBorder="1"/>
    <xf numFmtId="0" fontId="43" fillId="10" borderId="46" xfId="4" applyFont="1" applyBorder="1" applyAlignment="1">
      <alignment horizontal="center" shrinkToFit="1"/>
    </xf>
    <xf numFmtId="0" fontId="0" fillId="0" borderId="55" xfId="0" applyBorder="1"/>
    <xf numFmtId="0" fontId="44" fillId="16" borderId="45" xfId="0" applyFont="1" applyFill="1" applyBorder="1" applyAlignment="1">
      <alignment horizontal="center" vertical="center"/>
    </xf>
    <xf numFmtId="0" fontId="0" fillId="0" borderId="45" xfId="0" applyBorder="1"/>
    <xf numFmtId="0" fontId="32" fillId="10" borderId="56" xfId="4" applyFont="1" applyBorder="1" applyAlignment="1">
      <alignment horizontal="center" vertical="top"/>
    </xf>
    <xf numFmtId="0" fontId="43" fillId="10" borderId="53" xfId="4" applyFont="1" applyBorder="1" applyAlignment="1">
      <alignment horizontal="center" shrinkToFit="1"/>
    </xf>
    <xf numFmtId="0" fontId="0" fillId="0" borderId="54" xfId="0" applyBorder="1"/>
    <xf numFmtId="0" fontId="41" fillId="0" borderId="26" xfId="0" applyFont="1" applyBorder="1" applyAlignment="1">
      <alignment horizontal="center"/>
    </xf>
    <xf numFmtId="0" fontId="0" fillId="0" borderId="29" xfId="0" applyBorder="1"/>
    <xf numFmtId="0" fontId="37" fillId="0" borderId="26" xfId="0" applyFont="1" applyBorder="1" applyAlignment="1">
      <alignment horizontal="center" vertical="center" textRotation="56" wrapText="1"/>
    </xf>
    <xf numFmtId="0" fontId="39" fillId="0" borderId="26" xfId="0" applyFont="1" applyBorder="1" applyAlignment="1" applyProtection="1">
      <alignment horizontal="center" vertical="justify" wrapText="1"/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40" fillId="0" borderId="26" xfId="0" applyFont="1" applyBorder="1" applyAlignment="1" applyProtection="1">
      <alignment horizontal="center" vertical="center"/>
      <protection locked="0"/>
    </xf>
    <xf numFmtId="0" fontId="0" fillId="0" borderId="28" xfId="0" applyBorder="1" applyProtection="1">
      <protection locked="0"/>
    </xf>
  </cellXfs>
  <cellStyles count="7">
    <cellStyle name="20 % - Accent5" xfId="4" builtinId="46"/>
    <cellStyle name="Accent2" xfId="6" builtinId="33"/>
    <cellStyle name="Accent6" xfId="3" builtinId="49"/>
    <cellStyle name="Hyperlink" xfId="1" xr:uid="{00000000-0005-0000-0000-000001000000}"/>
    <cellStyle name="Lien hypertexte" xfId="2" builtinId="8"/>
    <cellStyle name="Neutre" xfId="5" builtinId="2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>
              <a:defRPr sz="1300" b="1">
                <a:solidFill>
                  <a:srgbClr val="FFD700"/>
                </a:solidFill>
              </a:defRPr>
            </a:pPr>
            <a:r>
              <a:rPr lang="fr-CH" sz="1300" b="1">
                <a:solidFill>
                  <a:srgbClr val="FFD700"/>
                </a:solidFill>
              </a:rPr>
              <a:t>xcxcx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S1</c:v>
          </c:tx>
          <c:spPr>
            <a:solidFill>
              <a:srgbClr val="FF6B00"/>
            </a:solidFill>
            <a:ln w="19050">
              <a:solidFill>
                <a:srgbClr val="FF6B00"/>
              </a:solidFill>
              <a:prstDash val="solid"/>
            </a:ln>
          </c:spPr>
          <c:cat>
            <c:strRef>
              <c:f>'Comportement professionnelle'!$C$13:$C$24</c:f>
              <c:strCache>
                <c:ptCount val="12"/>
                <c:pt idx="0">
                  <c:v>Ponctualité</c:v>
                </c:pt>
                <c:pt idx="1">
                  <c:v>Absences</c:v>
                </c:pt>
                <c:pt idx="2">
                  <c:v>Travail à la maison</c:v>
                </c:pt>
                <c:pt idx="3">
                  <c:v>Langage technique / professionnel</c:v>
                </c:pt>
                <c:pt idx="4">
                  <c:v>Respect des règles / discipline</c:v>
                </c:pt>
                <c:pt idx="5">
                  <c:v>Attitude / politesse</c:v>
                </c:pt>
                <c:pt idx="6">
                  <c:v>Participation / implication</c:v>
                </c:pt>
                <c:pt idx="7">
                  <c:v>Persévérance</c:v>
                </c:pt>
                <c:pt idx="8">
                  <c:v>Travail en équipe</c:v>
                </c:pt>
                <c:pt idx="9">
                  <c:v>Gestion du matériel / oublie</c:v>
                </c:pt>
                <c:pt idx="10">
                  <c:v>Communication / écoute</c:v>
                </c:pt>
                <c:pt idx="11">
                  <c:v>Autonomie / responsabilité</c:v>
                </c:pt>
              </c:strCache>
            </c:strRef>
          </c:cat>
          <c:val>
            <c:numRef>
              <c:f>'Comportement professionnelle'!$N$13:$N$24</c:f>
              <c:numCache>
                <c:formatCode>General</c:formatCode>
                <c:ptCount val="12"/>
                <c:pt idx="0">
                  <c:v>18</c:v>
                </c:pt>
                <c:pt idx="1">
                  <c:v>17</c:v>
                </c:pt>
                <c:pt idx="2">
                  <c:v>19</c:v>
                </c:pt>
                <c:pt idx="3">
                  <c:v>18</c:v>
                </c:pt>
                <c:pt idx="4">
                  <c:v>17</c:v>
                </c:pt>
                <c:pt idx="5">
                  <c:v>18</c:v>
                </c:pt>
                <c:pt idx="6">
                  <c:v>19</c:v>
                </c:pt>
                <c:pt idx="7">
                  <c:v>17</c:v>
                </c:pt>
                <c:pt idx="8">
                  <c:v>19</c:v>
                </c:pt>
                <c:pt idx="9">
                  <c:v>18</c:v>
                </c:pt>
                <c:pt idx="10">
                  <c:v>19</c:v>
                </c:pt>
                <c:pt idx="1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BA-4A1C-AA12-56F8801AA258}"/>
            </c:ext>
          </c:extLst>
        </c:ser>
        <c:ser>
          <c:idx val="1"/>
          <c:order val="1"/>
          <c:tx>
            <c:v>S2</c:v>
          </c:tx>
          <c:spPr>
            <a:solidFill>
              <a:srgbClr val="00C850"/>
            </a:solidFill>
            <a:ln w="19050">
              <a:solidFill>
                <a:srgbClr val="00C850"/>
              </a:solidFill>
              <a:prstDash val="solid"/>
            </a:ln>
          </c:spPr>
          <c:val>
            <c:numRef>
              <c:f>'Comportement professionnelle'!$O$13:$O$24</c:f>
              <c:numCache>
                <c:formatCode>General</c:formatCode>
                <c:ptCount val="12"/>
                <c:pt idx="0">
                  <c:v>19</c:v>
                </c:pt>
                <c:pt idx="1">
                  <c:v>18</c:v>
                </c:pt>
                <c:pt idx="2">
                  <c:v>19</c:v>
                </c:pt>
                <c:pt idx="3">
                  <c:v>19</c:v>
                </c:pt>
                <c:pt idx="4">
                  <c:v>18</c:v>
                </c:pt>
                <c:pt idx="5">
                  <c:v>19</c:v>
                </c:pt>
                <c:pt idx="6">
                  <c:v>19</c:v>
                </c:pt>
                <c:pt idx="7">
                  <c:v>18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BA-4A1C-AA12-56F8801AA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9887616"/>
        <c:axId val="1289888096"/>
      </c:radarChart>
      <c:catAx>
        <c:axId val="128988761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89888096"/>
        <c:crosses val="autoZero"/>
        <c:auto val="1"/>
        <c:lblAlgn val="ctr"/>
        <c:lblOffset val="100"/>
        <c:noMultiLvlLbl val="0"/>
      </c:catAx>
      <c:valAx>
        <c:axId val="1289888096"/>
        <c:scaling>
          <c:orientation val="minMax"/>
          <c:max val="19"/>
          <c:min val="0"/>
        </c:scaling>
        <c:delete val="0"/>
        <c:axPos val="l"/>
        <c:majorGridlines>
          <c:spPr>
            <a:ln w="6350" cap="flat" cmpd="sng" algn="ctr">
              <a:solidFill>
                <a:srgbClr val="3C4664"/>
              </a:solidFill>
              <a:prstDash val="solid"/>
              <a:round/>
              <a:headEnd w="med" len="med"/>
              <a:tailEnd w="med" len="med"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 b="0">
                <a:solidFill>
                  <a:srgbClr val="FFFFFF"/>
                </a:solidFill>
              </a:defRPr>
            </a:pPr>
            <a:endParaRPr lang="fr-FR"/>
          </a:p>
        </c:txPr>
        <c:crossAx val="1289887616"/>
        <c:crosses val="autoZero"/>
        <c:crossBetween val="between"/>
        <c:majorUnit val="5"/>
      </c:valAx>
    </c:plotArea>
    <c:legend>
      <c:legendPos val="b"/>
      <c:overlay val="0"/>
      <c:spPr>
        <a:noFill/>
        <a:ln>
          <a:prstDash val="solid"/>
        </a:ln>
      </c:spPr>
      <c:txPr>
        <a:bodyPr/>
        <a:lstStyle/>
        <a:p>
          <a:pPr>
            <a:defRPr sz="1100">
              <a:solidFill>
                <a:srgbClr val="FFFFFF"/>
              </a:solidFill>
            </a:defRPr>
          </a:pPr>
          <a:endParaRPr lang="fr-FR"/>
        </a:p>
      </c:txPr>
    </c:legend>
    <c:plotVisOnly val="1"/>
    <c:dispBlanksAs val="gap"/>
    <c:showDLblsOverMax val="1"/>
  </c:chart>
  <c:spPr>
    <a:noFill/>
    <a:ln w="6350" cap="flat" cmpd="sng" algn="ctr">
      <a:noFill/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fr-CH"/>
              <a:t>dfdf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S1</c:v>
          </c:tx>
          <c:spPr>
            <a:solidFill>
              <a:srgbClr val="00B4FF"/>
            </a:solidFill>
            <a:ln w="31750">
              <a:solidFill>
                <a:srgbClr val="00B4FF"/>
              </a:solidFill>
              <a:prstDash val="solid"/>
            </a:ln>
          </c:spPr>
          <c:cat>
            <c:strRef>
              <c:f>'Comportement professionnelle'!$C$13:$C$24</c:f>
              <c:strCache>
                <c:ptCount val="12"/>
                <c:pt idx="0">
                  <c:v>Ponctualité</c:v>
                </c:pt>
                <c:pt idx="1">
                  <c:v>Absences</c:v>
                </c:pt>
                <c:pt idx="2">
                  <c:v>Travail à la maison</c:v>
                </c:pt>
                <c:pt idx="3">
                  <c:v>Langage technique / professionnel</c:v>
                </c:pt>
                <c:pt idx="4">
                  <c:v>Respect des règles / discipline</c:v>
                </c:pt>
                <c:pt idx="5">
                  <c:v>Attitude / politesse</c:v>
                </c:pt>
                <c:pt idx="6">
                  <c:v>Participation / implication</c:v>
                </c:pt>
                <c:pt idx="7">
                  <c:v>Persévérance</c:v>
                </c:pt>
                <c:pt idx="8">
                  <c:v>Travail en équipe</c:v>
                </c:pt>
                <c:pt idx="9">
                  <c:v>Gestion du matériel / oublie</c:v>
                </c:pt>
                <c:pt idx="10">
                  <c:v>Communication / écoute</c:v>
                </c:pt>
                <c:pt idx="11">
                  <c:v>Autonomie / responsabilité</c:v>
                </c:pt>
              </c:strCache>
            </c:strRef>
          </c:cat>
          <c:val>
            <c:numRef>
              <c:f>'Comportement professionnelle'!$H$13:$H$24</c:f>
              <c:numCache>
                <c:formatCode>General</c:formatCode>
                <c:ptCount val="12"/>
                <c:pt idx="0">
                  <c:v>14</c:v>
                </c:pt>
                <c:pt idx="1">
                  <c:v>19</c:v>
                </c:pt>
                <c:pt idx="2">
                  <c:v>17</c:v>
                </c:pt>
                <c:pt idx="3">
                  <c:v>18</c:v>
                </c:pt>
                <c:pt idx="4">
                  <c:v>17</c:v>
                </c:pt>
                <c:pt idx="5">
                  <c:v>18</c:v>
                </c:pt>
                <c:pt idx="6">
                  <c:v>17</c:v>
                </c:pt>
                <c:pt idx="7">
                  <c:v>16</c:v>
                </c:pt>
                <c:pt idx="8">
                  <c:v>19</c:v>
                </c:pt>
                <c:pt idx="9">
                  <c:v>17</c:v>
                </c:pt>
                <c:pt idx="10">
                  <c:v>16</c:v>
                </c:pt>
                <c:pt idx="11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98-4080-9DA8-C9C981E4588F}"/>
            </c:ext>
          </c:extLst>
        </c:ser>
        <c:ser>
          <c:idx val="1"/>
          <c:order val="1"/>
          <c:tx>
            <c:v>S2</c:v>
          </c:tx>
          <c:spPr>
            <a:solidFill>
              <a:srgbClr val="9600FF"/>
            </a:solidFill>
            <a:ln w="31750">
              <a:solidFill>
                <a:srgbClr val="9600FF"/>
              </a:solidFill>
              <a:prstDash val="solid"/>
            </a:ln>
          </c:spPr>
          <c:val>
            <c:numRef>
              <c:f>'Comportement professionnelle'!$I$13:$I$24</c:f>
              <c:numCache>
                <c:formatCode>General</c:formatCode>
                <c:ptCount val="12"/>
                <c:pt idx="0">
                  <c:v>17</c:v>
                </c:pt>
                <c:pt idx="1">
                  <c:v>19</c:v>
                </c:pt>
                <c:pt idx="2">
                  <c:v>18</c:v>
                </c:pt>
                <c:pt idx="3">
                  <c:v>19</c:v>
                </c:pt>
                <c:pt idx="4">
                  <c:v>18</c:v>
                </c:pt>
                <c:pt idx="5">
                  <c:v>19</c:v>
                </c:pt>
                <c:pt idx="6">
                  <c:v>18</c:v>
                </c:pt>
                <c:pt idx="7">
                  <c:v>18</c:v>
                </c:pt>
                <c:pt idx="8">
                  <c:v>19</c:v>
                </c:pt>
                <c:pt idx="9">
                  <c:v>18</c:v>
                </c:pt>
                <c:pt idx="10">
                  <c:v>17</c:v>
                </c:pt>
                <c:pt idx="1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98-4080-9DA8-C9C981E45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63455"/>
        <c:axId val="261750015"/>
      </c:radarChart>
      <c:catAx>
        <c:axId val="261763455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61750015"/>
        <c:crosses val="autoZero"/>
        <c:auto val="1"/>
        <c:lblAlgn val="ctr"/>
        <c:lblOffset val="100"/>
        <c:noMultiLvlLbl val="0"/>
      </c:catAx>
      <c:valAx>
        <c:axId val="261750015"/>
        <c:scaling>
          <c:orientation val="minMax"/>
          <c:max val="19"/>
          <c:min val="0"/>
        </c:scaling>
        <c:delete val="0"/>
        <c:axPos val="l"/>
        <c:majorGridlines>
          <c:spPr>
            <a:ln w="19050" cap="flat" cmpd="sng" algn="ctr">
              <a:solidFill>
                <a:srgbClr val="FFFFFF"/>
              </a:solidFill>
              <a:prstDash val="solid"/>
              <a:round/>
              <a:headEnd w="med" len="med"/>
              <a:tailEnd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61763455"/>
        <c:crosses val="autoZero"/>
        <c:crossBetween val="between"/>
        <c:majorUnit val="5"/>
      </c:valAx>
    </c:plotArea>
    <c:legend>
      <c:legendPos val="b"/>
      <c:overlay val="0"/>
      <c:spPr>
        <a:noFill/>
        <a:ln>
          <a:prstDash val="solid"/>
        </a:ln>
      </c:spPr>
    </c:legend>
    <c:plotVisOnly val="1"/>
    <c:dispBlanksAs val="gap"/>
    <c:showDLblsOverMax val="1"/>
  </c:chart>
  <c:spPr>
    <a:noFill/>
    <a:ln w="6350" cap="flat" cmpd="sng" algn="ctr">
      <a:noFill/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fr-CH"/>
              <a:t>dfd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S1</c:v>
          </c:tx>
          <c:spPr>
            <a:solidFill>
              <a:srgbClr val="00B4FF"/>
            </a:solidFill>
            <a:ln w="31750">
              <a:solidFill>
                <a:srgbClr val="00B4FF"/>
              </a:solidFill>
              <a:prstDash val="solid"/>
            </a:ln>
          </c:spPr>
          <c:cat>
            <c:strRef>
              <c:f>'Comportement professionnelle'!$C$13:$C$24</c:f>
              <c:strCache>
                <c:ptCount val="12"/>
                <c:pt idx="0">
                  <c:v>Ponctualité</c:v>
                </c:pt>
                <c:pt idx="1">
                  <c:v>Absences</c:v>
                </c:pt>
                <c:pt idx="2">
                  <c:v>Travail à la maison</c:v>
                </c:pt>
                <c:pt idx="3">
                  <c:v>Langage technique / professionnel</c:v>
                </c:pt>
                <c:pt idx="4">
                  <c:v>Respect des règles / discipline</c:v>
                </c:pt>
                <c:pt idx="5">
                  <c:v>Attitude / politesse</c:v>
                </c:pt>
                <c:pt idx="6">
                  <c:v>Participation / implication</c:v>
                </c:pt>
                <c:pt idx="7">
                  <c:v>Persévérance</c:v>
                </c:pt>
                <c:pt idx="8">
                  <c:v>Travail en équipe</c:v>
                </c:pt>
                <c:pt idx="9">
                  <c:v>Gestion du matériel / oublie</c:v>
                </c:pt>
                <c:pt idx="10">
                  <c:v>Communication / écoute</c:v>
                </c:pt>
                <c:pt idx="11">
                  <c:v>Autonomie / responsabilité</c:v>
                </c:pt>
              </c:strCache>
            </c:strRef>
          </c:cat>
          <c:val>
            <c:numRef>
              <c:f>'Comportement professionnelle'!$J$13:$J$24</c:f>
              <c:numCache>
                <c:formatCode>General</c:formatCode>
                <c:ptCount val="12"/>
                <c:pt idx="0">
                  <c:v>19</c:v>
                </c:pt>
                <c:pt idx="1">
                  <c:v>19</c:v>
                </c:pt>
                <c:pt idx="2">
                  <c:v>18</c:v>
                </c:pt>
                <c:pt idx="3">
                  <c:v>19</c:v>
                </c:pt>
                <c:pt idx="4">
                  <c:v>19</c:v>
                </c:pt>
                <c:pt idx="5">
                  <c:v>18</c:v>
                </c:pt>
                <c:pt idx="6">
                  <c:v>19</c:v>
                </c:pt>
                <c:pt idx="7">
                  <c:v>19</c:v>
                </c:pt>
                <c:pt idx="8">
                  <c:v>18</c:v>
                </c:pt>
                <c:pt idx="9">
                  <c:v>19</c:v>
                </c:pt>
                <c:pt idx="10">
                  <c:v>19</c:v>
                </c:pt>
                <c:pt idx="1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51-4DCF-BC0B-910117ABA269}"/>
            </c:ext>
          </c:extLst>
        </c:ser>
        <c:ser>
          <c:idx val="1"/>
          <c:order val="1"/>
          <c:tx>
            <c:v>S2</c:v>
          </c:tx>
          <c:spPr>
            <a:solidFill>
              <a:srgbClr val="9600FF"/>
            </a:solidFill>
            <a:ln w="31750">
              <a:solidFill>
                <a:srgbClr val="9600FF"/>
              </a:solidFill>
              <a:prstDash val="solid"/>
            </a:ln>
          </c:spPr>
          <c:val>
            <c:numRef>
              <c:f>'Comportement professionnelle'!$K$13:$K$24</c:f>
              <c:numCache>
                <c:formatCode>General</c:formatCode>
                <c:ptCount val="12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51-4DCF-BC0B-910117ABA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71615"/>
        <c:axId val="261772095"/>
      </c:radarChart>
      <c:catAx>
        <c:axId val="261771615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61772095"/>
        <c:crosses val="autoZero"/>
        <c:auto val="1"/>
        <c:lblAlgn val="ctr"/>
        <c:lblOffset val="100"/>
        <c:noMultiLvlLbl val="0"/>
      </c:catAx>
      <c:valAx>
        <c:axId val="261772095"/>
        <c:scaling>
          <c:orientation val="minMax"/>
          <c:max val="19"/>
          <c:min val="0"/>
        </c:scaling>
        <c:delete val="0"/>
        <c:axPos val="l"/>
        <c:majorGridlines>
          <c:spPr>
            <a:ln w="19050" cap="flat" cmpd="sng" algn="ctr">
              <a:solidFill>
                <a:srgbClr val="FFFFFF"/>
              </a:solidFill>
              <a:prstDash val="solid"/>
              <a:round/>
              <a:headEnd w="med" len="med"/>
              <a:tailEnd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61771615"/>
        <c:crosses val="autoZero"/>
        <c:crossBetween val="between"/>
        <c:majorUnit val="5"/>
      </c:valAx>
    </c:plotArea>
    <c:legend>
      <c:legendPos val="b"/>
      <c:overlay val="0"/>
      <c:spPr>
        <a:noFill/>
        <a:ln>
          <a:prstDash val="solid"/>
        </a:ln>
      </c:spPr>
    </c:legend>
    <c:plotVisOnly val="1"/>
    <c:dispBlanksAs val="gap"/>
    <c:showDLblsOverMax val="1"/>
  </c:chart>
  <c:spPr>
    <a:noFill/>
    <a:ln w="6350" cap="flat" cmpd="sng" algn="ctr">
      <a:noFill/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fr-CH"/>
              <a:t>sdss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S1</c:v>
          </c:tx>
          <c:spPr>
            <a:solidFill>
              <a:srgbClr val="00B4FF"/>
            </a:solidFill>
            <a:ln w="31750">
              <a:solidFill>
                <a:srgbClr val="00B4FF"/>
              </a:solidFill>
              <a:prstDash val="solid"/>
            </a:ln>
          </c:spPr>
          <c:cat>
            <c:strRef>
              <c:f>'Comportement professionnelle'!$C$13:$C$24</c:f>
              <c:strCache>
                <c:ptCount val="12"/>
                <c:pt idx="0">
                  <c:v>Ponctualité</c:v>
                </c:pt>
                <c:pt idx="1">
                  <c:v>Absences</c:v>
                </c:pt>
                <c:pt idx="2">
                  <c:v>Travail à la maison</c:v>
                </c:pt>
                <c:pt idx="3">
                  <c:v>Langage technique / professionnel</c:v>
                </c:pt>
                <c:pt idx="4">
                  <c:v>Respect des règles / discipline</c:v>
                </c:pt>
                <c:pt idx="5">
                  <c:v>Attitude / politesse</c:v>
                </c:pt>
                <c:pt idx="6">
                  <c:v>Participation / implication</c:v>
                </c:pt>
                <c:pt idx="7">
                  <c:v>Persévérance</c:v>
                </c:pt>
                <c:pt idx="8">
                  <c:v>Travail en équipe</c:v>
                </c:pt>
                <c:pt idx="9">
                  <c:v>Gestion du matériel / oublie</c:v>
                </c:pt>
                <c:pt idx="10">
                  <c:v>Communication / écoute</c:v>
                </c:pt>
                <c:pt idx="11">
                  <c:v>Autonomie / responsabilité</c:v>
                </c:pt>
              </c:strCache>
            </c:strRef>
          </c:cat>
          <c:val>
            <c:numRef>
              <c:f>'Comportement professionnelle'!$L$13:$L$24</c:f>
              <c:numCache>
                <c:formatCode>General</c:formatCode>
                <c:ptCount val="12"/>
                <c:pt idx="0">
                  <c:v>15</c:v>
                </c:pt>
                <c:pt idx="1">
                  <c:v>16</c:v>
                </c:pt>
                <c:pt idx="2">
                  <c:v>13</c:v>
                </c:pt>
                <c:pt idx="3">
                  <c:v>14</c:v>
                </c:pt>
                <c:pt idx="4">
                  <c:v>16</c:v>
                </c:pt>
                <c:pt idx="5">
                  <c:v>15</c:v>
                </c:pt>
                <c:pt idx="6">
                  <c:v>14</c:v>
                </c:pt>
                <c:pt idx="7">
                  <c:v>16</c:v>
                </c:pt>
                <c:pt idx="8">
                  <c:v>13</c:v>
                </c:pt>
                <c:pt idx="9">
                  <c:v>15</c:v>
                </c:pt>
                <c:pt idx="10">
                  <c:v>14</c:v>
                </c:pt>
                <c:pt idx="1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5F-4793-A254-1E889B76FAA4}"/>
            </c:ext>
          </c:extLst>
        </c:ser>
        <c:ser>
          <c:idx val="1"/>
          <c:order val="1"/>
          <c:tx>
            <c:v>S2</c:v>
          </c:tx>
          <c:spPr>
            <a:solidFill>
              <a:srgbClr val="9600FF"/>
            </a:solidFill>
            <a:ln w="31750">
              <a:solidFill>
                <a:srgbClr val="9600FF"/>
              </a:solidFill>
              <a:prstDash val="solid"/>
            </a:ln>
          </c:spPr>
          <c:val>
            <c:numRef>
              <c:f>'Comportement professionnelle'!$M$13:$M$24</c:f>
              <c:numCache>
                <c:formatCode>General</c:formatCode>
                <c:ptCount val="12"/>
                <c:pt idx="0">
                  <c:v>18</c:v>
                </c:pt>
                <c:pt idx="1">
                  <c:v>18</c:v>
                </c:pt>
                <c:pt idx="2">
                  <c:v>17</c:v>
                </c:pt>
                <c:pt idx="3">
                  <c:v>18</c:v>
                </c:pt>
                <c:pt idx="4">
                  <c:v>18</c:v>
                </c:pt>
                <c:pt idx="5">
                  <c:v>17</c:v>
                </c:pt>
                <c:pt idx="6">
                  <c:v>18</c:v>
                </c:pt>
                <c:pt idx="7">
                  <c:v>17</c:v>
                </c:pt>
                <c:pt idx="8">
                  <c:v>17</c:v>
                </c:pt>
                <c:pt idx="9">
                  <c:v>18</c:v>
                </c:pt>
                <c:pt idx="10">
                  <c:v>17</c:v>
                </c:pt>
                <c:pt idx="1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5F-4793-A254-1E889B76F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74015"/>
        <c:axId val="261774495"/>
      </c:radarChart>
      <c:catAx>
        <c:axId val="261774015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61774495"/>
        <c:crosses val="autoZero"/>
        <c:auto val="1"/>
        <c:lblAlgn val="ctr"/>
        <c:lblOffset val="100"/>
        <c:noMultiLvlLbl val="0"/>
      </c:catAx>
      <c:valAx>
        <c:axId val="261774495"/>
        <c:scaling>
          <c:orientation val="minMax"/>
          <c:max val="19"/>
          <c:min val="0"/>
        </c:scaling>
        <c:delete val="0"/>
        <c:axPos val="l"/>
        <c:majorGridlines>
          <c:spPr>
            <a:ln w="19050" cap="flat" cmpd="sng" algn="ctr">
              <a:solidFill>
                <a:srgbClr val="FFFFFF"/>
              </a:solidFill>
              <a:prstDash val="solid"/>
              <a:round/>
              <a:headEnd w="med" len="med"/>
              <a:tailEnd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61774015"/>
        <c:crosses val="autoZero"/>
        <c:crossBetween val="between"/>
        <c:majorUnit val="5"/>
      </c:valAx>
    </c:plotArea>
    <c:legend>
      <c:legendPos val="b"/>
      <c:overlay val="0"/>
      <c:spPr>
        <a:noFill/>
        <a:ln>
          <a:prstDash val="solid"/>
        </a:ln>
      </c:spPr>
    </c:legend>
    <c:plotVisOnly val="1"/>
    <c:dispBlanksAs val="gap"/>
    <c:showDLblsOverMax val="1"/>
  </c:chart>
  <c:spPr>
    <a:noFill/>
    <a:ln w="6350" cap="flat" cmpd="sng" algn="ctr">
      <a:noFill/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 rot="0" vert="horz"/>
          <a:lstStyle/>
          <a:p>
            <a:pPr>
              <a:defRPr/>
            </a:pPr>
            <a:r>
              <a:rPr lang="fr-CH"/>
              <a:t>M. Ampère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S1</c:v>
          </c:tx>
          <c:spPr>
            <a:solidFill>
              <a:schemeClr val="accent1">
                <a:alpha val="69804"/>
              </a:schemeClr>
            </a:solidFill>
            <a:ln w="9525" cap="flat" cmpd="sng" algn="ctr">
              <a:solidFill>
                <a:schemeClr val="accent1">
                  <a:alpha val="69804"/>
                </a:schemeClr>
              </a:solidFill>
              <a:prstDash val="solid"/>
              <a:miter lim="800000"/>
            </a:ln>
          </c:spPr>
          <c:cat>
            <c:strRef>
              <c:f>'Comportement professionnelle'!$C$13:$C$24</c:f>
              <c:strCache>
                <c:ptCount val="12"/>
                <c:pt idx="0">
                  <c:v>Ponctualité</c:v>
                </c:pt>
                <c:pt idx="1">
                  <c:v>Absences</c:v>
                </c:pt>
                <c:pt idx="2">
                  <c:v>Travail à la maison</c:v>
                </c:pt>
                <c:pt idx="3">
                  <c:v>Langage technique / professionnel</c:v>
                </c:pt>
                <c:pt idx="4">
                  <c:v>Respect des règles / discipline</c:v>
                </c:pt>
                <c:pt idx="5">
                  <c:v>Attitude / politesse</c:v>
                </c:pt>
                <c:pt idx="6">
                  <c:v>Participation / implication</c:v>
                </c:pt>
                <c:pt idx="7">
                  <c:v>Persévérance</c:v>
                </c:pt>
                <c:pt idx="8">
                  <c:v>Travail en équipe</c:v>
                </c:pt>
                <c:pt idx="9">
                  <c:v>Gestion du matériel / oublie</c:v>
                </c:pt>
                <c:pt idx="10">
                  <c:v>Communication / écoute</c:v>
                </c:pt>
                <c:pt idx="11">
                  <c:v>Autonomie / responsabilité</c:v>
                </c:pt>
              </c:strCache>
            </c:strRef>
          </c:cat>
          <c:val>
            <c:numRef>
              <c:f>'Comportement professionnelle'!$D$13:$D$24</c:f>
              <c:numCache>
                <c:formatCode>General</c:formatCode>
                <c:ptCount val="12"/>
                <c:pt idx="0">
                  <c:v>19</c:v>
                </c:pt>
                <c:pt idx="1">
                  <c:v>18</c:v>
                </c:pt>
                <c:pt idx="2">
                  <c:v>19</c:v>
                </c:pt>
                <c:pt idx="3">
                  <c:v>17</c:v>
                </c:pt>
                <c:pt idx="4">
                  <c:v>19</c:v>
                </c:pt>
                <c:pt idx="5">
                  <c:v>19</c:v>
                </c:pt>
                <c:pt idx="6">
                  <c:v>18</c:v>
                </c:pt>
                <c:pt idx="7">
                  <c:v>19</c:v>
                </c:pt>
                <c:pt idx="8">
                  <c:v>17</c:v>
                </c:pt>
                <c:pt idx="9">
                  <c:v>19</c:v>
                </c:pt>
                <c:pt idx="10">
                  <c:v>18</c:v>
                </c:pt>
                <c:pt idx="1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7D-438A-918E-A6CBD8DD84E6}"/>
            </c:ext>
          </c:extLst>
        </c:ser>
        <c:ser>
          <c:idx val="1"/>
          <c:order val="1"/>
          <c:tx>
            <c:v>S2</c:v>
          </c:tx>
          <c:spPr>
            <a:solidFill>
              <a:schemeClr val="accent2">
                <a:alpha val="69804"/>
              </a:schemeClr>
            </a:solidFill>
            <a:ln w="9525" cap="flat" cmpd="sng" algn="ctr">
              <a:solidFill>
                <a:schemeClr val="accent2">
                  <a:alpha val="69804"/>
                </a:schemeClr>
              </a:solidFill>
              <a:prstDash val="solid"/>
              <a:miter lim="800000"/>
            </a:ln>
          </c:spPr>
          <c:val>
            <c:numRef>
              <c:f>'Comportement professionnelle'!$E$13:$E$24</c:f>
              <c:numCache>
                <c:formatCode>General</c:formatCode>
                <c:ptCount val="12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18</c:v>
                </c:pt>
                <c:pt idx="9">
                  <c:v>19</c:v>
                </c:pt>
                <c:pt idx="10">
                  <c:v>19</c:v>
                </c:pt>
                <c:pt idx="1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7D-438A-918E-A6CBD8DD8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766335"/>
        <c:axId val="261752415"/>
      </c:radarChart>
      <c:catAx>
        <c:axId val="261766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vert="horz"/>
          <a:lstStyle/>
          <a:p>
            <a:pPr>
              <a:defRPr/>
            </a:pPr>
            <a:endParaRPr lang="fr-FR"/>
          </a:p>
        </c:txPr>
        <c:crossAx val="261752415"/>
        <c:crosses val="autoZero"/>
        <c:auto val="1"/>
        <c:lblAlgn val="ctr"/>
        <c:lblOffset val="100"/>
        <c:noMultiLvlLbl val="0"/>
      </c:catAx>
      <c:valAx>
        <c:axId val="261752415"/>
        <c:scaling>
          <c:orientation val="minMax"/>
          <c:max val="19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0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vert="horz"/>
          <a:lstStyle/>
          <a:p>
            <a:pPr>
              <a:defRPr/>
            </a:pPr>
            <a:endParaRPr lang="fr-FR"/>
          </a:p>
        </c:txPr>
        <c:crossAx val="261766335"/>
        <c:crosses val="autoZero"/>
        <c:crossBetween val="between"/>
        <c:majorUnit val="5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vert="horz"/>
        <a:lstStyle/>
        <a:p>
          <a:pPr>
            <a:defRPr/>
          </a:pPr>
          <a:endParaRPr lang="fr-FR"/>
        </a:p>
      </c:txPr>
    </c:legend>
    <c:plotVisOnly val="1"/>
    <c:dispBlanksAs val="gap"/>
    <c:showDLblsOverMax val="1"/>
  </c:chart>
  <c:spPr>
    <a:noFill/>
    <a:ln w="9525" cap="flat" cmpd="sng" algn="ctr">
      <a:solidFill>
        <a:schemeClr val="dk1">
          <a:lumMod val="15000"/>
          <a:lumOff val="85000"/>
        </a:schemeClr>
      </a:solidFill>
      <a:prstDash val="solid"/>
      <a:round/>
    </a:ln>
  </c:spPr>
  <c:txPr>
    <a:bodyPr/>
    <a:lstStyle/>
    <a:p>
      <a:pPr>
        <a:defRPr b="1">
          <a:solidFill>
            <a:sysClr val="windowText" lastClr="000000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fr-CH"/>
              <a:t>M. Volt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S1</c:v>
          </c:tx>
          <c:spPr>
            <a:solidFill>
              <a:srgbClr val="00B4FF"/>
            </a:solidFill>
            <a:ln w="31750">
              <a:solidFill>
                <a:srgbClr val="00B4FF"/>
              </a:solidFill>
              <a:prstDash val="solid"/>
            </a:ln>
          </c:spPr>
          <c:cat>
            <c:strRef>
              <c:f>'Comportement professionnelle'!$C$13:$C$24</c:f>
              <c:strCache>
                <c:ptCount val="12"/>
                <c:pt idx="0">
                  <c:v>Ponctualité</c:v>
                </c:pt>
                <c:pt idx="1">
                  <c:v>Absences</c:v>
                </c:pt>
                <c:pt idx="2">
                  <c:v>Travail à la maison</c:v>
                </c:pt>
                <c:pt idx="3">
                  <c:v>Langage technique / professionnel</c:v>
                </c:pt>
                <c:pt idx="4">
                  <c:v>Respect des règles / discipline</c:v>
                </c:pt>
                <c:pt idx="5">
                  <c:v>Attitude / politesse</c:v>
                </c:pt>
                <c:pt idx="6">
                  <c:v>Participation / implication</c:v>
                </c:pt>
                <c:pt idx="7">
                  <c:v>Persévérance</c:v>
                </c:pt>
                <c:pt idx="8">
                  <c:v>Travail en équipe</c:v>
                </c:pt>
                <c:pt idx="9">
                  <c:v>Gestion du matériel / oublie</c:v>
                </c:pt>
                <c:pt idx="10">
                  <c:v>Communication / écoute</c:v>
                </c:pt>
                <c:pt idx="11">
                  <c:v>Autonomie / responsabilité</c:v>
                </c:pt>
              </c:strCache>
            </c:strRef>
          </c:cat>
          <c:val>
            <c:numRef>
              <c:f>'Comportement professionnelle'!$F$13:$F$24</c:f>
              <c:numCache>
                <c:formatCode>General</c:formatCode>
                <c:ptCount val="12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19</c:v>
                </c:pt>
                <c:pt idx="4">
                  <c:v>15</c:v>
                </c:pt>
                <c:pt idx="5">
                  <c:v>17</c:v>
                </c:pt>
                <c:pt idx="6">
                  <c:v>19</c:v>
                </c:pt>
                <c:pt idx="7">
                  <c:v>18</c:v>
                </c:pt>
                <c:pt idx="8">
                  <c:v>16</c:v>
                </c:pt>
                <c:pt idx="9">
                  <c:v>15</c:v>
                </c:pt>
                <c:pt idx="10">
                  <c:v>17</c:v>
                </c:pt>
                <c:pt idx="1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30-4264-B886-0071FA6D18A7}"/>
            </c:ext>
          </c:extLst>
        </c:ser>
        <c:ser>
          <c:idx val="1"/>
          <c:order val="1"/>
          <c:tx>
            <c:v>S2</c:v>
          </c:tx>
          <c:spPr>
            <a:solidFill>
              <a:srgbClr val="9600FF"/>
            </a:solidFill>
            <a:ln w="31750">
              <a:solidFill>
                <a:srgbClr val="9600FF"/>
              </a:solidFill>
              <a:prstDash val="solid"/>
            </a:ln>
          </c:spPr>
          <c:val>
            <c:numRef>
              <c:f>'Comportement professionnelle'!$G$13:$G$24</c:f>
              <c:numCache>
                <c:formatCode>General</c:formatCode>
                <c:ptCount val="12"/>
                <c:pt idx="0">
                  <c:v>19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  <c:pt idx="4">
                  <c:v>15</c:v>
                </c:pt>
                <c:pt idx="5">
                  <c:v>18</c:v>
                </c:pt>
                <c:pt idx="6">
                  <c:v>19</c:v>
                </c:pt>
                <c:pt idx="7">
                  <c:v>19</c:v>
                </c:pt>
                <c:pt idx="8">
                  <c:v>17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30-4264-B886-0071FA6D1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746048"/>
        <c:axId val="402748448"/>
      </c:radarChart>
      <c:catAx>
        <c:axId val="40274604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02748448"/>
        <c:crosses val="autoZero"/>
        <c:auto val="1"/>
        <c:lblAlgn val="ctr"/>
        <c:lblOffset val="100"/>
        <c:noMultiLvlLbl val="0"/>
      </c:catAx>
      <c:valAx>
        <c:axId val="402748448"/>
        <c:scaling>
          <c:orientation val="minMax"/>
          <c:max val="19"/>
          <c:min val="0"/>
        </c:scaling>
        <c:delete val="0"/>
        <c:axPos val="l"/>
        <c:majorGridlines>
          <c:spPr>
            <a:ln w="25400" cap="flat" cmpd="sng" algn="ctr">
              <a:solidFill>
                <a:srgbClr val="FFFFFF"/>
              </a:solidFill>
              <a:prstDash val="solid"/>
              <a:round/>
              <a:headEnd w="med" len="med"/>
              <a:tailEnd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402746048"/>
        <c:crosses val="autoZero"/>
        <c:crossBetween val="between"/>
        <c:majorUnit val="5"/>
      </c:valAx>
    </c:plotArea>
    <c:legend>
      <c:legendPos val="b"/>
      <c:overlay val="0"/>
      <c:spPr>
        <a:noFill/>
        <a:ln>
          <a:prstDash val="solid"/>
        </a:ln>
      </c:spPr>
    </c:legend>
    <c:plotVisOnly val="1"/>
    <c:dispBlanksAs val="gap"/>
    <c:showDLblsOverMax val="1"/>
  </c:chart>
  <c:spPr>
    <a:noFill/>
    <a:ln w="6350" cap="flat" cmpd="sng" algn="ctr">
      <a:noFill/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fr-CH"/>
              <a:t>Moyenne de classe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Moy. S1</c:v>
          </c:tx>
          <c:spPr>
            <a:solidFill>
              <a:srgbClr val="00B4FF"/>
            </a:solidFill>
            <a:ln w="31750">
              <a:solidFill>
                <a:srgbClr val="00B4FF"/>
              </a:solidFill>
              <a:prstDash val="solid"/>
            </a:ln>
          </c:spPr>
          <c:cat>
            <c:strRef>
              <c:f>'Comportement professionnelle'!$C$79:$C$90</c:f>
              <c:strCache>
                <c:ptCount val="12"/>
                <c:pt idx="0">
                  <c:v>Ponctualité</c:v>
                </c:pt>
                <c:pt idx="1">
                  <c:v>Absences</c:v>
                </c:pt>
                <c:pt idx="2">
                  <c:v>Travail à la maison</c:v>
                </c:pt>
                <c:pt idx="3">
                  <c:v>Langage technique / professionnel</c:v>
                </c:pt>
                <c:pt idx="4">
                  <c:v>Respect des règles / discipline</c:v>
                </c:pt>
                <c:pt idx="5">
                  <c:v>Attitude / politesse</c:v>
                </c:pt>
                <c:pt idx="6">
                  <c:v>Participation / implication</c:v>
                </c:pt>
                <c:pt idx="7">
                  <c:v>Persévérance</c:v>
                </c:pt>
                <c:pt idx="8">
                  <c:v>Travail en équipe</c:v>
                </c:pt>
                <c:pt idx="9">
                  <c:v>Gestion du matériel / oublie</c:v>
                </c:pt>
                <c:pt idx="10">
                  <c:v>Communication / écoute</c:v>
                </c:pt>
                <c:pt idx="11">
                  <c:v>Autonomie / responsabilité</c:v>
                </c:pt>
              </c:strCache>
            </c:strRef>
          </c:cat>
          <c:val>
            <c:numRef>
              <c:f>'Comportement professionnelle'!$D$79:$D$90</c:f>
              <c:numCache>
                <c:formatCode>General</c:formatCode>
                <c:ptCount val="12"/>
                <c:pt idx="0">
                  <c:v>17</c:v>
                </c:pt>
                <c:pt idx="1">
                  <c:v>17.600000000000001</c:v>
                </c:pt>
                <c:pt idx="2">
                  <c:v>17</c:v>
                </c:pt>
                <c:pt idx="3">
                  <c:v>17.5</c:v>
                </c:pt>
                <c:pt idx="4">
                  <c:v>17.2</c:v>
                </c:pt>
                <c:pt idx="5">
                  <c:v>17.8</c:v>
                </c:pt>
                <c:pt idx="6">
                  <c:v>17.600000000000001</c:v>
                </c:pt>
                <c:pt idx="7">
                  <c:v>17.5</c:v>
                </c:pt>
                <c:pt idx="8">
                  <c:v>17.100000000000001</c:v>
                </c:pt>
                <c:pt idx="9">
                  <c:v>17.2</c:v>
                </c:pt>
                <c:pt idx="10">
                  <c:v>17.600000000000001</c:v>
                </c:pt>
                <c:pt idx="11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4-427F-834B-7002B4D2EFDF}"/>
            </c:ext>
          </c:extLst>
        </c:ser>
        <c:ser>
          <c:idx val="1"/>
          <c:order val="1"/>
          <c:tx>
            <c:v>Moy. S2</c:v>
          </c:tx>
          <c:spPr>
            <a:solidFill>
              <a:srgbClr val="9600FF"/>
            </a:solidFill>
            <a:ln w="31750">
              <a:solidFill>
                <a:srgbClr val="9600FF"/>
              </a:solidFill>
              <a:prstDash val="solid"/>
            </a:ln>
          </c:spPr>
          <c:val>
            <c:numRef>
              <c:f>'Comportement professionnelle'!$E$79:$E$90</c:f>
              <c:numCache>
                <c:formatCode>General</c:formatCode>
                <c:ptCount val="12"/>
                <c:pt idx="0">
                  <c:v>18.2</c:v>
                </c:pt>
                <c:pt idx="1">
                  <c:v>18.5</c:v>
                </c:pt>
                <c:pt idx="2">
                  <c:v>18.399999999999999</c:v>
                </c:pt>
                <c:pt idx="3">
                  <c:v>18.600000000000001</c:v>
                </c:pt>
                <c:pt idx="4">
                  <c:v>18</c:v>
                </c:pt>
                <c:pt idx="5">
                  <c:v>18.600000000000001</c:v>
                </c:pt>
                <c:pt idx="6">
                  <c:v>18.600000000000001</c:v>
                </c:pt>
                <c:pt idx="7">
                  <c:v>18.2</c:v>
                </c:pt>
                <c:pt idx="8">
                  <c:v>18.2</c:v>
                </c:pt>
                <c:pt idx="9">
                  <c:v>18.399999999999999</c:v>
                </c:pt>
                <c:pt idx="10">
                  <c:v>18.399999999999999</c:v>
                </c:pt>
                <c:pt idx="11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34-427F-834B-7002B4D2E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285375"/>
        <c:axId val="1388128783"/>
      </c:radarChart>
      <c:catAx>
        <c:axId val="1432285375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388128783"/>
        <c:crosses val="autoZero"/>
        <c:auto val="1"/>
        <c:lblAlgn val="ctr"/>
        <c:lblOffset val="100"/>
        <c:noMultiLvlLbl val="0"/>
      </c:catAx>
      <c:valAx>
        <c:axId val="1388128783"/>
        <c:scaling>
          <c:orientation val="minMax"/>
          <c:max val="19"/>
          <c:min val="0"/>
        </c:scaling>
        <c:delete val="0"/>
        <c:axPos val="l"/>
        <c:majorGridlines>
          <c:spPr>
            <a:ln w="25400" cap="flat" cmpd="sng" algn="ctr">
              <a:solidFill>
                <a:srgbClr val="FFFFFF"/>
              </a:solidFill>
              <a:prstDash val="solid"/>
              <a:round/>
              <a:headEnd w="med" len="med"/>
              <a:tailEnd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1432285375"/>
        <c:crosses val="autoZero"/>
        <c:crossBetween val="between"/>
        <c:majorUnit val="5"/>
      </c:valAx>
    </c:plotArea>
    <c:legend>
      <c:legendPos val="b"/>
      <c:overlay val="0"/>
      <c:spPr>
        <a:noFill/>
        <a:ln>
          <a:prstDash val="solid"/>
        </a:ln>
      </c:spPr>
    </c:legend>
    <c:plotVisOnly val="1"/>
    <c:dispBlanksAs val="gap"/>
    <c:showDLblsOverMax val="1"/>
  </c:chart>
  <c:spPr>
    <a:noFill/>
    <a:ln w="6350" cap="flat" cmpd="sng" algn="ctr">
      <a:noFill/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CH"/>
              <a:t>Nikola Wattson</a:t>
            </a:r>
          </a:p>
        </c:rich>
      </c:tx>
      <c:overlay val="0"/>
      <c:spPr>
        <a:noFill/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S1</c:v>
          </c:tx>
          <c:spPr>
            <a:solidFill>
              <a:srgbClr val="00B4FF">
                <a:alpha val="80000"/>
              </a:srgbClr>
            </a:solidFill>
            <a:ln w="31750">
              <a:solidFill>
                <a:srgbClr val="00B4FF"/>
              </a:solidFill>
            </a:ln>
          </c:spPr>
          <c:cat>
            <c:strRef>
              <c:f>'Comportement professionnelle'!$C$13:$C$24</c:f>
              <c:strCache>
                <c:ptCount val="12"/>
                <c:pt idx="0">
                  <c:v>Ponctualité</c:v>
                </c:pt>
                <c:pt idx="1">
                  <c:v>Absences</c:v>
                </c:pt>
                <c:pt idx="2">
                  <c:v>Travail à la maison</c:v>
                </c:pt>
                <c:pt idx="3">
                  <c:v>Langage technique / professionnel</c:v>
                </c:pt>
                <c:pt idx="4">
                  <c:v>Respect des règles / discipline</c:v>
                </c:pt>
                <c:pt idx="5">
                  <c:v>Attitude / politesse</c:v>
                </c:pt>
                <c:pt idx="6">
                  <c:v>Participation / implication</c:v>
                </c:pt>
                <c:pt idx="7">
                  <c:v>Persévérance</c:v>
                </c:pt>
                <c:pt idx="8">
                  <c:v>Travail en équipe</c:v>
                </c:pt>
                <c:pt idx="9">
                  <c:v>Gestion du matériel / oublie</c:v>
                </c:pt>
                <c:pt idx="10">
                  <c:v>Communication / écoute</c:v>
                </c:pt>
                <c:pt idx="11">
                  <c:v>Autonomie / responsabilité</c:v>
                </c:pt>
              </c:strCache>
            </c:strRef>
          </c:cat>
          <c:val>
            <c:numRef>
              <c:f>'Comportement professionnelle'!$F$13:$F$24</c:f>
              <c:numCache>
                <c:formatCode>General</c:formatCode>
                <c:ptCount val="12"/>
                <c:pt idx="0">
                  <c:v>18</c:v>
                </c:pt>
                <c:pt idx="1">
                  <c:v>17</c:v>
                </c:pt>
                <c:pt idx="2">
                  <c:v>16</c:v>
                </c:pt>
                <c:pt idx="3">
                  <c:v>19</c:v>
                </c:pt>
                <c:pt idx="4">
                  <c:v>15</c:v>
                </c:pt>
                <c:pt idx="5">
                  <c:v>17</c:v>
                </c:pt>
                <c:pt idx="6">
                  <c:v>19</c:v>
                </c:pt>
                <c:pt idx="7">
                  <c:v>18</c:v>
                </c:pt>
                <c:pt idx="8">
                  <c:v>16</c:v>
                </c:pt>
                <c:pt idx="9">
                  <c:v>15</c:v>
                </c:pt>
                <c:pt idx="10">
                  <c:v>17</c:v>
                </c:pt>
                <c:pt idx="11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E36-40E9-A298-3C98795C5AE8}"/>
            </c:ext>
          </c:extLst>
        </c:ser>
        <c:ser>
          <c:idx val="1"/>
          <c:order val="1"/>
          <c:tx>
            <c:v>S2</c:v>
          </c:tx>
          <c:spPr>
            <a:solidFill>
              <a:srgbClr val="9600FF">
                <a:alpha val="80000"/>
              </a:srgbClr>
            </a:solidFill>
            <a:ln w="31750">
              <a:solidFill>
                <a:srgbClr val="9600FF"/>
              </a:solidFill>
            </a:ln>
          </c:spPr>
          <c:val>
            <c:numRef>
              <c:f>'Comportement professionnelle'!$G$13:$G$24</c:f>
              <c:numCache>
                <c:formatCode>General</c:formatCode>
                <c:ptCount val="12"/>
                <c:pt idx="0">
                  <c:v>19</c:v>
                </c:pt>
                <c:pt idx="1">
                  <c:v>18</c:v>
                </c:pt>
                <c:pt idx="2">
                  <c:v>18</c:v>
                </c:pt>
                <c:pt idx="3">
                  <c:v>19</c:v>
                </c:pt>
                <c:pt idx="4">
                  <c:v>15</c:v>
                </c:pt>
                <c:pt idx="5">
                  <c:v>18</c:v>
                </c:pt>
                <c:pt idx="6">
                  <c:v>19</c:v>
                </c:pt>
                <c:pt idx="7">
                  <c:v>19</c:v>
                </c:pt>
                <c:pt idx="8">
                  <c:v>17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E36-40E9-A298-3C98795C5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530911"/>
        <c:axId val="750023311"/>
      </c:radarChart>
      <c:catAx>
        <c:axId val="953530911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50023311"/>
        <c:crosses val="autoZero"/>
        <c:auto val="1"/>
        <c:lblAlgn val="ctr"/>
        <c:lblOffset val="100"/>
        <c:noMultiLvlLbl val="0"/>
      </c:catAx>
      <c:valAx>
        <c:axId val="750023311"/>
        <c:scaling>
          <c:orientation val="minMax"/>
          <c:max val="19"/>
          <c:min val="0"/>
        </c:scaling>
        <c:delete val="0"/>
        <c:axPos val="l"/>
        <c:majorGridlines>
          <c:spPr>
            <a:ln w="25400" cap="flat" cmpd="sng" algn="ctr">
              <a:solidFill>
                <a:srgbClr val="FFFFFF"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953530911"/>
        <c:crosses val="autoZero"/>
        <c:crossBetween val="between"/>
        <c:majorUnit val="5"/>
      </c:valAx>
      <c:spPr>
        <a:noFill/>
      </c:spPr>
    </c:plotArea>
    <c:legend>
      <c:legendPos val="b"/>
      <c:overlay val="0"/>
      <c:spPr>
        <a:noFill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100" b="1">
          <a:solidFill>
            <a:srgbClr val="FFFFFF"/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fr-CH"/>
              <a:t>Moyenne de classe</a:t>
            </a:r>
          </a:p>
        </c:rich>
      </c:tx>
      <c:overlay val="0"/>
      <c:spPr>
        <a:noFill/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v>Moy. S1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cat>
            <c:strRef>
              <c:f>'Comportement professionnelle'!$C$79:$C$90</c:f>
              <c:strCache>
                <c:ptCount val="12"/>
                <c:pt idx="0">
                  <c:v>Ponctualité</c:v>
                </c:pt>
                <c:pt idx="1">
                  <c:v>Absences</c:v>
                </c:pt>
                <c:pt idx="2">
                  <c:v>Travail à la maison</c:v>
                </c:pt>
                <c:pt idx="3">
                  <c:v>Langage technique / professionnel</c:v>
                </c:pt>
                <c:pt idx="4">
                  <c:v>Respect des règles / discipline</c:v>
                </c:pt>
                <c:pt idx="5">
                  <c:v>Attitude / politesse</c:v>
                </c:pt>
                <c:pt idx="6">
                  <c:v>Participation / implication</c:v>
                </c:pt>
                <c:pt idx="7">
                  <c:v>Persévérance</c:v>
                </c:pt>
                <c:pt idx="8">
                  <c:v>Travail en équipe</c:v>
                </c:pt>
                <c:pt idx="9">
                  <c:v>Gestion du matériel / oublie</c:v>
                </c:pt>
                <c:pt idx="10">
                  <c:v>Communication / écoute</c:v>
                </c:pt>
                <c:pt idx="11">
                  <c:v>Autonomie / responsabilité</c:v>
                </c:pt>
              </c:strCache>
            </c:strRef>
          </c:cat>
          <c:val>
            <c:numRef>
              <c:f>'Comportement professionnelle'!$D$79:$D$90</c:f>
              <c:numCache>
                <c:formatCode>General</c:formatCode>
                <c:ptCount val="12"/>
                <c:pt idx="0">
                  <c:v>17</c:v>
                </c:pt>
                <c:pt idx="1">
                  <c:v>17.600000000000001</c:v>
                </c:pt>
                <c:pt idx="2">
                  <c:v>17</c:v>
                </c:pt>
                <c:pt idx="3">
                  <c:v>17.5</c:v>
                </c:pt>
                <c:pt idx="4">
                  <c:v>17.2</c:v>
                </c:pt>
                <c:pt idx="5">
                  <c:v>17.8</c:v>
                </c:pt>
                <c:pt idx="6">
                  <c:v>17.600000000000001</c:v>
                </c:pt>
                <c:pt idx="7">
                  <c:v>17.5</c:v>
                </c:pt>
                <c:pt idx="8">
                  <c:v>17.100000000000001</c:v>
                </c:pt>
                <c:pt idx="9">
                  <c:v>17.2</c:v>
                </c:pt>
                <c:pt idx="10">
                  <c:v>17.600000000000001</c:v>
                </c:pt>
                <c:pt idx="11">
                  <c:v>17.5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CBF-4278-9897-FD61E4F9783F}"/>
            </c:ext>
          </c:extLst>
        </c:ser>
        <c:ser>
          <c:idx val="1"/>
          <c:order val="1"/>
          <c:tx>
            <c:v>Moy. S2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val>
            <c:numRef>
              <c:f>'Comportement professionnelle'!$E$79:$E$90</c:f>
              <c:numCache>
                <c:formatCode>General</c:formatCode>
                <c:ptCount val="12"/>
                <c:pt idx="0">
                  <c:v>18.2</c:v>
                </c:pt>
                <c:pt idx="1">
                  <c:v>18.5</c:v>
                </c:pt>
                <c:pt idx="2">
                  <c:v>18.399999999999999</c:v>
                </c:pt>
                <c:pt idx="3">
                  <c:v>18.600000000000001</c:v>
                </c:pt>
                <c:pt idx="4">
                  <c:v>18</c:v>
                </c:pt>
                <c:pt idx="5">
                  <c:v>18.600000000000001</c:v>
                </c:pt>
                <c:pt idx="6">
                  <c:v>18.600000000000001</c:v>
                </c:pt>
                <c:pt idx="7">
                  <c:v>18.2</c:v>
                </c:pt>
                <c:pt idx="8">
                  <c:v>18.2</c:v>
                </c:pt>
                <c:pt idx="9">
                  <c:v>18.399999999999999</c:v>
                </c:pt>
                <c:pt idx="10">
                  <c:v>18.399999999999999</c:v>
                </c:pt>
                <c:pt idx="11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CBF-4278-9897-FD61E4F97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440895"/>
        <c:axId val="750098671"/>
      </c:radarChart>
      <c:catAx>
        <c:axId val="95344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0098671"/>
        <c:crosses val="autoZero"/>
        <c:auto val="1"/>
        <c:lblAlgn val="ctr"/>
        <c:lblOffset val="100"/>
        <c:noMultiLvlLbl val="0"/>
      </c:catAx>
      <c:valAx>
        <c:axId val="750098671"/>
        <c:scaling>
          <c:orientation val="minMax"/>
          <c:max val="19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53440895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4.jpe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0</xdr:row>
      <xdr:rowOff>1</xdr:rowOff>
    </xdr:from>
    <xdr:to>
      <xdr:col>8</xdr:col>
      <xdr:colOff>1905000</xdr:colOff>
      <xdr:row>2</xdr:row>
      <xdr:rowOff>192440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810375" y="1"/>
          <a:ext cx="1876425" cy="98301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8</xdr:col>
      <xdr:colOff>1952625</xdr:colOff>
      <xdr:row>0</xdr:row>
      <xdr:rowOff>0</xdr:rowOff>
    </xdr:from>
    <xdr:to>
      <xdr:col>8</xdr:col>
      <xdr:colOff>3114675</xdr:colOff>
      <xdr:row>2</xdr:row>
      <xdr:rowOff>162306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734425" y="0"/>
          <a:ext cx="1162050" cy="95288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8</xdr:col>
      <xdr:colOff>3143250</xdr:colOff>
      <xdr:row>0</xdr:row>
      <xdr:rowOff>0</xdr:rowOff>
    </xdr:from>
    <xdr:to>
      <xdr:col>8</xdr:col>
      <xdr:colOff>4067175</xdr:colOff>
      <xdr:row>2</xdr:row>
      <xdr:rowOff>133350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25050" y="0"/>
          <a:ext cx="923925" cy="923925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16566</xdr:colOff>
      <xdr:row>0</xdr:row>
      <xdr:rowOff>1</xdr:rowOff>
    </xdr:from>
    <xdr:to>
      <xdr:col>8</xdr:col>
      <xdr:colOff>1892991</xdr:colOff>
      <xdr:row>3</xdr:row>
      <xdr:rowOff>13950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595153" y="1"/>
          <a:ext cx="1876425" cy="983014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8</xdr:col>
      <xdr:colOff>1940616</xdr:colOff>
      <xdr:row>0</xdr:row>
      <xdr:rowOff>0</xdr:rowOff>
    </xdr:from>
    <xdr:to>
      <xdr:col>8</xdr:col>
      <xdr:colOff>3102666</xdr:colOff>
      <xdr:row>2</xdr:row>
      <xdr:rowOff>323403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519203" y="0"/>
          <a:ext cx="1162050" cy="95288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8</xdr:col>
      <xdr:colOff>3131241</xdr:colOff>
      <xdr:row>0</xdr:row>
      <xdr:rowOff>0</xdr:rowOff>
    </xdr:from>
    <xdr:to>
      <xdr:col>10</xdr:col>
      <xdr:colOff>145775</xdr:colOff>
      <xdr:row>2</xdr:row>
      <xdr:rowOff>294447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09828" y="0"/>
          <a:ext cx="923925" cy="923925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11</xdr:col>
      <xdr:colOff>220613</xdr:colOff>
      <xdr:row>129</xdr:row>
      <xdr:rowOff>65955</xdr:rowOff>
    </xdr:from>
    <xdr:to>
      <xdr:col>12</xdr:col>
      <xdr:colOff>276717</xdr:colOff>
      <xdr:row>131</xdr:row>
      <xdr:rowOff>129171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12837156" y="26463812"/>
          <a:ext cx="850761" cy="45510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12</xdr:col>
      <xdr:colOff>402772</xdr:colOff>
      <xdr:row>126</xdr:row>
      <xdr:rowOff>73477</xdr:rowOff>
    </xdr:from>
    <xdr:to>
      <xdr:col>14</xdr:col>
      <xdr:colOff>372292</xdr:colOff>
      <xdr:row>130</xdr:row>
      <xdr:rowOff>131988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3813972" y="25883506"/>
          <a:ext cx="1558834" cy="91712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25400</xdr:colOff>
      <xdr:row>10</xdr:row>
      <xdr:rowOff>25400</xdr:rowOff>
    </xdr:from>
    <xdr:to>
      <xdr:col>14</xdr:col>
      <xdr:colOff>1584325</xdr:colOff>
      <xdr:row>10</xdr:row>
      <xdr:rowOff>5175250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25400</xdr:colOff>
      <xdr:row>10</xdr:row>
      <xdr:rowOff>25400</xdr:rowOff>
    </xdr:from>
    <xdr:to>
      <xdr:col>8</xdr:col>
      <xdr:colOff>3127375</xdr:colOff>
      <xdr:row>10</xdr:row>
      <xdr:rowOff>5051425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25400</xdr:colOff>
      <xdr:row>10</xdr:row>
      <xdr:rowOff>25400</xdr:rowOff>
    </xdr:from>
    <xdr:to>
      <xdr:col>10</xdr:col>
      <xdr:colOff>3127375</xdr:colOff>
      <xdr:row>10</xdr:row>
      <xdr:rowOff>5051425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25400</xdr:colOff>
      <xdr:row>10</xdr:row>
      <xdr:rowOff>25400</xdr:rowOff>
    </xdr:from>
    <xdr:to>
      <xdr:col>12</xdr:col>
      <xdr:colOff>3127375</xdr:colOff>
      <xdr:row>10</xdr:row>
      <xdr:rowOff>5051425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25400</xdr:colOff>
      <xdr:row>10</xdr:row>
      <xdr:rowOff>25400</xdr:rowOff>
    </xdr:from>
    <xdr:to>
      <xdr:col>4</xdr:col>
      <xdr:colOff>6232525</xdr:colOff>
      <xdr:row>10</xdr:row>
      <xdr:rowOff>5051425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25400</xdr:colOff>
      <xdr:row>10</xdr:row>
      <xdr:rowOff>25400</xdr:rowOff>
    </xdr:from>
    <xdr:to>
      <xdr:col>6</xdr:col>
      <xdr:colOff>6232525</xdr:colOff>
      <xdr:row>10</xdr:row>
      <xdr:rowOff>5051425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25400</xdr:colOff>
      <xdr:row>76</xdr:row>
      <xdr:rowOff>25400</xdr:rowOff>
    </xdr:from>
    <xdr:to>
      <xdr:col>4</xdr:col>
      <xdr:colOff>6232525</xdr:colOff>
      <xdr:row>76</xdr:row>
      <xdr:rowOff>4765675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25400</xdr:colOff>
      <xdr:row>10</xdr:row>
      <xdr:rowOff>25400</xdr:rowOff>
    </xdr:from>
    <xdr:to>
      <xdr:col>6</xdr:col>
      <xdr:colOff>6232525</xdr:colOff>
      <xdr:row>10</xdr:row>
      <xdr:rowOff>5051425</xdr:rowOff>
    </xdr:to>
    <xdr:graphicFrame macro="">
      <xdr:nvGraphicFramePr>
        <xdr:cNvPr id="9" name="RadarEleve_6">
          <a:extLst>
            <a:ext uri="{FF2B5EF4-FFF2-40B4-BE49-F238E27FC236}">
              <a16:creationId xmlns:a16="http://schemas.microsoft.com/office/drawing/2014/main" id="{EDC8BC4B-6083-6546-561D-FD042B039C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25400</xdr:colOff>
      <xdr:row>76</xdr:row>
      <xdr:rowOff>137459</xdr:rowOff>
    </xdr:from>
    <xdr:to>
      <xdr:col>4</xdr:col>
      <xdr:colOff>6232525</xdr:colOff>
      <xdr:row>77</xdr:row>
      <xdr:rowOff>81616</xdr:rowOff>
    </xdr:to>
    <xdr:graphicFrame macro="">
      <xdr:nvGraphicFramePr>
        <xdr:cNvPr id="10" name="RadarMoyenneClasse">
          <a:extLst>
            <a:ext uri="{FF2B5EF4-FFF2-40B4-BE49-F238E27FC236}">
              <a16:creationId xmlns:a16="http://schemas.microsoft.com/office/drawing/2014/main" id="{4BAC2176-2208-CF94-F1F3-4FBFD864A1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epsic.ch/agenda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epsic.ch/agenda/" TargetMode="External"/><Relationship Id="rId1" Type="http://schemas.openxmlformats.org/officeDocument/2006/relationships/hyperlink" Target="https://www.vd.ch/themes/formation/jours-feries-et-vacances-scolaires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R131"/>
  <sheetViews>
    <sheetView tabSelected="1" zoomScale="70" zoomScaleNormal="70" workbookViewId="0">
      <selection activeCell="H4" sqref="H4"/>
    </sheetView>
  </sheetViews>
  <sheetFormatPr baseColWidth="10" defaultColWidth="9.140625" defaultRowHeight="15.75" x14ac:dyDescent="0.25"/>
  <cols>
    <col min="3" max="4" width="9.140625" style="19" customWidth="1"/>
    <col min="5" max="5" width="12.7109375" style="19" bestFit="1" customWidth="1"/>
    <col min="7" max="7" width="12.7109375" style="19" bestFit="1" customWidth="1"/>
    <col min="8" max="8" width="40.5703125" style="19" customWidth="1"/>
    <col min="9" max="9" width="66.7109375" style="38" customWidth="1"/>
    <col min="10" max="10" width="101.140625" customWidth="1"/>
    <col min="15" max="15" width="26.140625" customWidth="1"/>
  </cols>
  <sheetData>
    <row r="1" spans="3:18" ht="32.25" customHeight="1" x14ac:dyDescent="0.25">
      <c r="C1" s="163" t="s">
        <v>76</v>
      </c>
      <c r="D1" s="163" t="s">
        <v>77</v>
      </c>
      <c r="E1" s="15" t="s">
        <v>96</v>
      </c>
      <c r="F1" s="156" t="s">
        <v>75</v>
      </c>
      <c r="G1" s="157"/>
      <c r="H1" s="158"/>
      <c r="I1" s="35"/>
      <c r="P1" s="1"/>
      <c r="Q1" s="1"/>
      <c r="R1" s="1"/>
    </row>
    <row r="2" spans="3:18" ht="30" customHeight="1" x14ac:dyDescent="0.25">
      <c r="C2" s="164"/>
      <c r="D2" s="164"/>
      <c r="E2" s="28" t="s">
        <v>78</v>
      </c>
      <c r="F2" s="2"/>
      <c r="G2" s="28" t="s">
        <v>79</v>
      </c>
      <c r="H2" s="34" t="s">
        <v>97</v>
      </c>
      <c r="I2" s="35"/>
      <c r="P2" s="1"/>
      <c r="Q2" s="1"/>
      <c r="R2" s="1"/>
    </row>
    <row r="3" spans="3:18" ht="16.5" customHeight="1" thickBot="1" x14ac:dyDescent="0.3">
      <c r="C3" s="159" t="s">
        <v>80</v>
      </c>
      <c r="D3" s="160"/>
      <c r="E3" s="160"/>
      <c r="F3" s="160"/>
      <c r="G3" s="160"/>
      <c r="H3" s="160"/>
      <c r="I3" s="35"/>
      <c r="P3" s="1"/>
    </row>
    <row r="4" spans="3:18" ht="63" customHeight="1" x14ac:dyDescent="0.25">
      <c r="C4" s="11">
        <v>34</v>
      </c>
      <c r="D4" s="11">
        <v>1</v>
      </c>
      <c r="E4" s="29">
        <v>46251</v>
      </c>
      <c r="F4" s="3" t="s">
        <v>96</v>
      </c>
      <c r="G4" s="17">
        <f>E4+4</f>
        <v>46255</v>
      </c>
      <c r="H4" s="32" t="s">
        <v>147</v>
      </c>
      <c r="I4" s="165" t="s">
        <v>98</v>
      </c>
      <c r="J4" s="81" t="s">
        <v>99</v>
      </c>
      <c r="P4" s="1"/>
    </row>
    <row r="5" spans="3:18" ht="15.75" customHeight="1" x14ac:dyDescent="0.25">
      <c r="C5" s="11"/>
      <c r="D5" s="11"/>
      <c r="E5" s="29"/>
      <c r="F5" s="3"/>
      <c r="G5" s="17"/>
      <c r="H5" s="33"/>
      <c r="I5" s="149"/>
      <c r="N5" s="70"/>
      <c r="O5" s="130" t="s">
        <v>85</v>
      </c>
      <c r="P5" s="1"/>
      <c r="Q5" s="4"/>
      <c r="R5" s="4"/>
    </row>
    <row r="6" spans="3:18" ht="15.75" customHeight="1" thickBot="1" x14ac:dyDescent="0.3">
      <c r="C6" s="11"/>
      <c r="D6" s="11"/>
      <c r="E6" s="29"/>
      <c r="F6" s="3"/>
      <c r="G6" s="17"/>
      <c r="H6" s="33"/>
      <c r="I6" s="149"/>
      <c r="N6" s="80"/>
      <c r="O6" s="130" t="s">
        <v>100</v>
      </c>
      <c r="P6" s="1"/>
    </row>
    <row r="7" spans="3:18" ht="15" customHeight="1" x14ac:dyDescent="0.25">
      <c r="C7" s="11">
        <v>35</v>
      </c>
      <c r="D7" s="11">
        <v>2</v>
      </c>
      <c r="E7" s="17">
        <f>G4+3</f>
        <v>46258</v>
      </c>
      <c r="F7" s="3" t="s">
        <v>83</v>
      </c>
      <c r="G7" s="17">
        <f>E7+4</f>
        <v>46262</v>
      </c>
      <c r="H7" s="33" t="s">
        <v>96</v>
      </c>
      <c r="I7" s="148" t="s">
        <v>101</v>
      </c>
      <c r="N7" s="129"/>
      <c r="O7" s="130" t="s">
        <v>102</v>
      </c>
      <c r="P7" s="1"/>
    </row>
    <row r="8" spans="3:18" ht="15" customHeight="1" thickBot="1" x14ac:dyDescent="0.3">
      <c r="C8" s="11"/>
      <c r="D8" s="11"/>
      <c r="E8" s="17"/>
      <c r="F8" s="3"/>
      <c r="G8" s="17"/>
      <c r="H8" s="33"/>
      <c r="I8" s="149"/>
      <c r="M8" s="1"/>
    </row>
    <row r="9" spans="3:18" ht="15" customHeight="1" x14ac:dyDescent="0.25">
      <c r="C9" s="11"/>
      <c r="D9" s="11"/>
      <c r="E9" s="17"/>
      <c r="F9" s="3"/>
      <c r="G9" s="17"/>
      <c r="H9" s="33"/>
      <c r="I9" s="149"/>
      <c r="M9" s="1"/>
      <c r="N9" s="146" t="s">
        <v>82</v>
      </c>
      <c r="O9" s="147"/>
    </row>
    <row r="10" spans="3:18" x14ac:dyDescent="0.25">
      <c r="C10" s="11"/>
      <c r="D10" s="11"/>
      <c r="E10" s="17"/>
      <c r="F10" s="3"/>
      <c r="G10" s="17"/>
      <c r="H10" s="33"/>
      <c r="I10" s="149"/>
      <c r="M10" s="1"/>
      <c r="N10" s="7"/>
      <c r="O10" s="8"/>
    </row>
    <row r="11" spans="3:18" x14ac:dyDescent="0.25">
      <c r="C11" s="11"/>
      <c r="D11" s="11"/>
      <c r="E11" s="17"/>
      <c r="F11" s="3"/>
      <c r="G11" s="17"/>
      <c r="H11" s="33"/>
      <c r="I11" s="149"/>
      <c r="M11" s="1"/>
      <c r="N11" s="42">
        <v>0.33333333333333331</v>
      </c>
      <c r="O11" s="43">
        <f>N11+0.03125</f>
        <v>0.36458333333333331</v>
      </c>
    </row>
    <row r="12" spans="3:18" ht="16.149999999999999" customHeight="1" thickBot="1" x14ac:dyDescent="0.3">
      <c r="C12" s="11"/>
      <c r="D12" s="11"/>
      <c r="E12" s="17"/>
      <c r="F12" s="3"/>
      <c r="G12" s="17"/>
      <c r="H12" s="33"/>
      <c r="I12" s="150"/>
      <c r="M12" s="1"/>
      <c r="N12" s="42">
        <v>0.36805555555555558</v>
      </c>
      <c r="O12" s="43">
        <f>N12+0.03125</f>
        <v>0.39930555555555558</v>
      </c>
    </row>
    <row r="13" spans="3:18" ht="15" customHeight="1" x14ac:dyDescent="0.25">
      <c r="C13" s="11">
        <v>36</v>
      </c>
      <c r="D13" s="11">
        <v>3</v>
      </c>
      <c r="E13" s="17">
        <f>G7+3</f>
        <v>46265</v>
      </c>
      <c r="F13" s="3" t="s">
        <v>83</v>
      </c>
      <c r="G13" s="17">
        <f>E13+4</f>
        <v>46269</v>
      </c>
      <c r="H13" s="20" t="s">
        <v>96</v>
      </c>
      <c r="I13" s="36"/>
      <c r="M13" s="1"/>
      <c r="N13" s="42">
        <v>0.40972222222222221</v>
      </c>
      <c r="O13" s="43">
        <f>N13+0.03125</f>
        <v>0.44097222222222221</v>
      </c>
    </row>
    <row r="14" spans="3:18" ht="15" customHeight="1" x14ac:dyDescent="0.25">
      <c r="C14" s="11"/>
      <c r="D14" s="11"/>
      <c r="E14" s="17"/>
      <c r="F14" s="3"/>
      <c r="G14" s="17"/>
      <c r="H14" s="20"/>
      <c r="I14" s="148" t="s">
        <v>103</v>
      </c>
      <c r="M14" s="1"/>
      <c r="N14" s="42">
        <v>0.44444444444444442</v>
      </c>
      <c r="O14" s="43">
        <f>N14+0.03125</f>
        <v>0.47569444444444442</v>
      </c>
    </row>
    <row r="15" spans="3:18" ht="15" customHeight="1" x14ac:dyDescent="0.25">
      <c r="C15" s="11"/>
      <c r="D15" s="11"/>
      <c r="E15" s="17"/>
      <c r="F15" s="3"/>
      <c r="G15" s="17"/>
      <c r="H15" s="20"/>
      <c r="I15" s="149"/>
      <c r="M15" s="1"/>
      <c r="N15" s="42">
        <v>0.47916666666666669</v>
      </c>
      <c r="O15" s="43">
        <f>N15+0.03125</f>
        <v>0.51041666666666674</v>
      </c>
    </row>
    <row r="16" spans="3:18" ht="15" customHeight="1" x14ac:dyDescent="0.25">
      <c r="C16" s="11"/>
      <c r="D16" s="11"/>
      <c r="E16" s="17"/>
      <c r="F16" s="3"/>
      <c r="G16" s="17"/>
      <c r="H16" s="20"/>
      <c r="I16" s="149"/>
      <c r="M16" s="1"/>
      <c r="N16" s="42"/>
      <c r="O16" s="43"/>
    </row>
    <row r="17" spans="3:18" ht="15" customHeight="1" x14ac:dyDescent="0.25">
      <c r="C17" s="11"/>
      <c r="D17" s="11"/>
      <c r="E17" s="17"/>
      <c r="F17" s="3"/>
      <c r="G17" s="17"/>
      <c r="H17" s="20"/>
      <c r="I17" s="149"/>
      <c r="M17" s="1"/>
      <c r="N17" s="42">
        <v>0.51388888888888884</v>
      </c>
      <c r="O17" s="43">
        <f>N17+0.03125</f>
        <v>0.54513888888888884</v>
      </c>
    </row>
    <row r="18" spans="3:18" ht="15" customHeight="1" thickBot="1" x14ac:dyDescent="0.3">
      <c r="C18" s="11"/>
      <c r="D18" s="11"/>
      <c r="E18" s="17"/>
      <c r="F18" s="3"/>
      <c r="G18" s="17"/>
      <c r="H18" s="20"/>
      <c r="I18" s="150"/>
      <c r="M18" s="1"/>
      <c r="N18" s="42"/>
      <c r="O18" s="43"/>
    </row>
    <row r="19" spans="3:18" ht="15" customHeight="1" thickBot="1" x14ac:dyDescent="0.3">
      <c r="C19" s="11">
        <v>37</v>
      </c>
      <c r="D19" s="11">
        <v>4</v>
      </c>
      <c r="E19" s="17">
        <f>G13+3</f>
        <v>46272</v>
      </c>
      <c r="F19" s="3" t="s">
        <v>83</v>
      </c>
      <c r="G19" s="17">
        <f>E19+4</f>
        <v>46276</v>
      </c>
      <c r="H19" s="20" t="s">
        <v>96</v>
      </c>
      <c r="I19" s="48"/>
      <c r="M19" s="1"/>
      <c r="N19" s="42">
        <v>0.54861111111111116</v>
      </c>
      <c r="O19" s="43">
        <f t="shared" ref="O19:O24" si="0">N19+0.03125</f>
        <v>0.57986111111111116</v>
      </c>
    </row>
    <row r="20" spans="3:18" ht="15" customHeight="1" x14ac:dyDescent="0.25">
      <c r="C20" s="11"/>
      <c r="D20" s="11"/>
      <c r="E20" s="17"/>
      <c r="F20" s="3"/>
      <c r="G20" s="17"/>
      <c r="H20" s="20"/>
      <c r="I20" s="148" t="s">
        <v>103</v>
      </c>
      <c r="M20" s="1"/>
      <c r="N20" s="42">
        <v>0.59027777777777779</v>
      </c>
      <c r="O20" s="43">
        <f t="shared" si="0"/>
        <v>0.62152777777777779</v>
      </c>
    </row>
    <row r="21" spans="3:18" ht="15" customHeight="1" x14ac:dyDescent="0.25">
      <c r="C21" s="11"/>
      <c r="D21" s="11"/>
      <c r="E21" s="17"/>
      <c r="F21" s="3"/>
      <c r="G21" s="17"/>
      <c r="H21" s="20"/>
      <c r="I21" s="149"/>
      <c r="M21" s="1"/>
      <c r="N21" s="42">
        <v>0.625</v>
      </c>
      <c r="O21" s="43">
        <f t="shared" si="0"/>
        <v>0.65625</v>
      </c>
    </row>
    <row r="22" spans="3:18" ht="15" customHeight="1" x14ac:dyDescent="0.25">
      <c r="C22" s="11"/>
      <c r="D22" s="11"/>
      <c r="E22" s="17"/>
      <c r="F22" s="3"/>
      <c r="G22" s="17"/>
      <c r="H22" s="20"/>
      <c r="I22" s="149"/>
      <c r="M22" s="1"/>
      <c r="N22" s="42">
        <v>0.65972222222222221</v>
      </c>
      <c r="O22" s="43">
        <f t="shared" si="0"/>
        <v>0.69097222222222221</v>
      </c>
    </row>
    <row r="23" spans="3:18" ht="15.75" customHeight="1" x14ac:dyDescent="0.25">
      <c r="C23" s="11"/>
      <c r="D23" s="11"/>
      <c r="E23" s="17"/>
      <c r="F23" s="3"/>
      <c r="G23" s="17"/>
      <c r="H23" s="20"/>
      <c r="I23" s="149"/>
      <c r="M23" s="1"/>
      <c r="N23" s="42">
        <v>0.69444444444444442</v>
      </c>
      <c r="O23" s="43">
        <f t="shared" si="0"/>
        <v>0.72569444444444442</v>
      </c>
    </row>
    <row r="24" spans="3:18" ht="15.75" customHeight="1" thickBot="1" x14ac:dyDescent="0.3">
      <c r="C24" s="11"/>
      <c r="D24" s="11"/>
      <c r="E24" s="17"/>
      <c r="F24" s="3"/>
      <c r="G24" s="17"/>
      <c r="H24" s="20"/>
      <c r="I24" s="150"/>
      <c r="M24" s="1"/>
      <c r="N24" s="44">
        <v>0.72916666666666663</v>
      </c>
      <c r="O24" s="45">
        <f t="shared" si="0"/>
        <v>0.76041666666666663</v>
      </c>
    </row>
    <row r="25" spans="3:18" ht="15" customHeight="1" thickBot="1" x14ac:dyDescent="0.3">
      <c r="C25" s="11">
        <v>38</v>
      </c>
      <c r="D25" s="11">
        <v>5</v>
      </c>
      <c r="E25" s="17">
        <f>G19+3</f>
        <v>46279</v>
      </c>
      <c r="F25" s="3" t="s">
        <v>83</v>
      </c>
      <c r="G25" s="17">
        <f>E25+4</f>
        <v>46283</v>
      </c>
      <c r="I25" s="48"/>
      <c r="M25" s="1"/>
      <c r="N25" s="9"/>
      <c r="O25" s="10"/>
    </row>
    <row r="26" spans="3:18" ht="15" customHeight="1" x14ac:dyDescent="0.25">
      <c r="C26" s="11"/>
      <c r="D26" s="11"/>
      <c r="E26" s="17"/>
      <c r="F26" s="3"/>
      <c r="G26" s="17"/>
      <c r="H26" s="20"/>
      <c r="I26" s="148" t="s">
        <v>103</v>
      </c>
    </row>
    <row r="27" spans="3:18" ht="15" customHeight="1" x14ac:dyDescent="0.25">
      <c r="C27" s="11"/>
      <c r="D27" s="11"/>
      <c r="E27" s="17"/>
      <c r="F27" s="3"/>
      <c r="G27" s="17"/>
      <c r="H27" s="20"/>
      <c r="I27" s="149"/>
    </row>
    <row r="28" spans="3:18" ht="15" customHeight="1" x14ac:dyDescent="0.25">
      <c r="C28" s="11"/>
      <c r="D28" s="11"/>
      <c r="E28" s="17"/>
      <c r="F28" s="3"/>
      <c r="G28" s="17"/>
      <c r="H28" s="20"/>
      <c r="I28" s="149"/>
    </row>
    <row r="29" spans="3:18" ht="15" customHeight="1" x14ac:dyDescent="0.25">
      <c r="C29" s="11"/>
      <c r="D29" s="11"/>
      <c r="E29" s="17"/>
      <c r="F29" s="3"/>
      <c r="G29" s="17"/>
      <c r="H29" s="20"/>
      <c r="I29" s="149"/>
      <c r="P29" s="1"/>
      <c r="Q29" s="1"/>
      <c r="R29" s="1"/>
    </row>
    <row r="30" spans="3:18" ht="15.75" customHeight="1" thickBot="1" x14ac:dyDescent="0.3">
      <c r="C30" s="11"/>
      <c r="D30" s="11"/>
      <c r="E30" s="17"/>
      <c r="F30" s="3"/>
      <c r="G30" s="17"/>
      <c r="H30" s="20"/>
      <c r="I30" s="150"/>
      <c r="P30" s="1"/>
    </row>
    <row r="31" spans="3:18" ht="16.5" customHeight="1" thickBot="1" x14ac:dyDescent="0.3">
      <c r="C31" s="11">
        <v>39</v>
      </c>
      <c r="D31" s="11">
        <v>6</v>
      </c>
      <c r="E31" s="17">
        <f>G25+3</f>
        <v>46286</v>
      </c>
      <c r="F31" s="3" t="s">
        <v>83</v>
      </c>
      <c r="G31" s="17">
        <f>E31+4</f>
        <v>46290</v>
      </c>
      <c r="H31" s="20" t="s">
        <v>96</v>
      </c>
      <c r="I31" s="128" t="s">
        <v>104</v>
      </c>
      <c r="P31" s="1"/>
    </row>
    <row r="32" spans="3:18" ht="15" customHeight="1" x14ac:dyDescent="0.25">
      <c r="C32" s="11"/>
      <c r="D32" s="11"/>
      <c r="E32" s="17"/>
      <c r="F32" s="3"/>
      <c r="G32" s="17"/>
      <c r="H32" s="20"/>
      <c r="I32" s="152" t="s">
        <v>103</v>
      </c>
      <c r="P32" s="1"/>
    </row>
    <row r="33" spans="3:18" ht="15" customHeight="1" x14ac:dyDescent="0.25">
      <c r="C33" s="11"/>
      <c r="D33" s="11"/>
      <c r="E33" s="17"/>
      <c r="F33" s="3"/>
      <c r="G33" s="17"/>
      <c r="H33" s="20"/>
      <c r="I33" s="149"/>
      <c r="P33" s="1"/>
      <c r="Q33" s="1"/>
      <c r="R33" s="1"/>
    </row>
    <row r="34" spans="3:18" ht="15" customHeight="1" x14ac:dyDescent="0.25">
      <c r="C34" s="11"/>
      <c r="D34" s="11"/>
      <c r="E34" s="17"/>
      <c r="F34" s="3"/>
      <c r="G34" s="17"/>
      <c r="H34" s="20"/>
      <c r="I34" s="149"/>
      <c r="P34" s="1"/>
      <c r="Q34" s="1"/>
      <c r="R34" s="1"/>
    </row>
    <row r="35" spans="3:18" ht="15" customHeight="1" x14ac:dyDescent="0.25">
      <c r="C35" s="11"/>
      <c r="D35" s="11"/>
      <c r="E35" s="17"/>
      <c r="F35" s="3"/>
      <c r="G35" s="17"/>
      <c r="H35" s="20"/>
      <c r="I35" s="149"/>
      <c r="P35" s="1"/>
      <c r="Q35" s="1"/>
      <c r="R35" s="1"/>
    </row>
    <row r="36" spans="3:18" ht="15.75" customHeight="1" thickBot="1" x14ac:dyDescent="0.3">
      <c r="C36" s="11"/>
      <c r="D36" s="11"/>
      <c r="E36" s="17"/>
      <c r="F36" s="3"/>
      <c r="G36" s="17"/>
      <c r="H36" s="20"/>
      <c r="I36" s="150"/>
      <c r="P36" s="1"/>
      <c r="Q36" s="1"/>
      <c r="R36" s="1"/>
    </row>
    <row r="37" spans="3:18" x14ac:dyDescent="0.25">
      <c r="C37" s="11"/>
      <c r="D37" s="11"/>
      <c r="E37" s="17"/>
      <c r="F37" s="3"/>
      <c r="G37" s="17"/>
      <c r="H37" s="20"/>
      <c r="I37" s="48"/>
      <c r="P37" s="1"/>
      <c r="Q37" s="1"/>
      <c r="R37" s="1"/>
    </row>
    <row r="38" spans="3:18" ht="16.5" customHeight="1" thickBot="1" x14ac:dyDescent="0.3">
      <c r="C38" s="11">
        <v>40</v>
      </c>
      <c r="D38" s="11">
        <v>7</v>
      </c>
      <c r="E38" s="17">
        <f>G31+3</f>
        <v>46293</v>
      </c>
      <c r="F38" s="3" t="s">
        <v>83</v>
      </c>
      <c r="G38" s="17">
        <f>E38+4</f>
        <v>46297</v>
      </c>
      <c r="H38" s="20" t="s">
        <v>96</v>
      </c>
      <c r="I38" s="48"/>
      <c r="P38" s="1"/>
      <c r="Q38" s="1"/>
      <c r="R38" s="1"/>
    </row>
    <row r="39" spans="3:18" ht="15" customHeight="1" x14ac:dyDescent="0.25">
      <c r="C39" s="11"/>
      <c r="D39" s="11"/>
      <c r="E39" s="17"/>
      <c r="F39" s="3"/>
      <c r="G39" s="17"/>
      <c r="H39" s="20"/>
      <c r="I39" s="148" t="s">
        <v>103</v>
      </c>
      <c r="P39" s="1"/>
      <c r="Q39" s="1"/>
      <c r="R39" s="1"/>
    </row>
    <row r="40" spans="3:18" ht="15" customHeight="1" x14ac:dyDescent="0.25">
      <c r="C40" s="11"/>
      <c r="D40" s="11"/>
      <c r="E40" s="17"/>
      <c r="F40" s="3"/>
      <c r="G40" s="17"/>
      <c r="H40" s="20"/>
      <c r="I40" s="149"/>
      <c r="P40" s="1"/>
      <c r="Q40" s="1"/>
      <c r="R40" s="1"/>
    </row>
    <row r="41" spans="3:18" ht="15" customHeight="1" x14ac:dyDescent="0.25">
      <c r="C41" s="11"/>
      <c r="D41" s="11"/>
      <c r="E41" s="17"/>
      <c r="F41" s="3"/>
      <c r="G41" s="17"/>
      <c r="H41" s="20"/>
      <c r="I41" s="149"/>
      <c r="P41" s="1"/>
      <c r="Q41" s="1"/>
      <c r="R41" s="1"/>
    </row>
    <row r="42" spans="3:18" ht="15" customHeight="1" x14ac:dyDescent="0.25">
      <c r="C42" s="11"/>
      <c r="D42" s="11"/>
      <c r="E42" s="17"/>
      <c r="F42" s="3"/>
      <c r="G42" s="17"/>
      <c r="H42" s="20"/>
      <c r="I42" s="149"/>
      <c r="P42" s="1"/>
      <c r="Q42" s="1"/>
      <c r="R42" s="1"/>
    </row>
    <row r="43" spans="3:18" ht="15.75" customHeight="1" thickBot="1" x14ac:dyDescent="0.3">
      <c r="C43" s="11"/>
      <c r="D43" s="11"/>
      <c r="E43" s="17"/>
      <c r="F43" s="3"/>
      <c r="G43" s="17"/>
      <c r="H43" s="20"/>
      <c r="I43" s="150"/>
      <c r="P43" s="1"/>
      <c r="Q43" s="1"/>
      <c r="R43" s="1"/>
    </row>
    <row r="44" spans="3:18" ht="15" customHeight="1" thickBot="1" x14ac:dyDescent="0.3">
      <c r="C44" s="11">
        <v>41</v>
      </c>
      <c r="D44" s="11">
        <v>8</v>
      </c>
      <c r="E44" s="17">
        <f>G38+3</f>
        <v>46300</v>
      </c>
      <c r="F44" s="3" t="s">
        <v>83</v>
      </c>
      <c r="G44" s="17">
        <f>E44+4</f>
        <v>46304</v>
      </c>
      <c r="H44" s="20" t="s">
        <v>96</v>
      </c>
      <c r="I44" s="49"/>
      <c r="P44" s="1"/>
      <c r="Q44" s="1"/>
      <c r="R44" s="1"/>
    </row>
    <row r="45" spans="3:18" ht="15" customHeight="1" x14ac:dyDescent="0.25">
      <c r="C45" s="11"/>
      <c r="D45" s="11"/>
      <c r="E45" s="17"/>
      <c r="F45" s="3"/>
      <c r="G45" s="17"/>
      <c r="H45" s="20"/>
      <c r="I45" s="148" t="s">
        <v>103</v>
      </c>
      <c r="P45" s="1"/>
      <c r="Q45" s="1"/>
      <c r="R45" s="1"/>
    </row>
    <row r="46" spans="3:18" ht="15" customHeight="1" x14ac:dyDescent="0.25">
      <c r="C46" s="11"/>
      <c r="D46" s="11"/>
      <c r="E46" s="17"/>
      <c r="F46" s="3"/>
      <c r="G46" s="17"/>
      <c r="H46" s="20"/>
      <c r="I46" s="149"/>
      <c r="P46" s="1"/>
      <c r="Q46" s="1"/>
      <c r="R46" s="1"/>
    </row>
    <row r="47" spans="3:18" ht="15" customHeight="1" x14ac:dyDescent="0.25">
      <c r="C47" s="11"/>
      <c r="D47" s="11"/>
      <c r="E47" s="17"/>
      <c r="F47" s="3"/>
      <c r="G47" s="17"/>
      <c r="H47" s="20"/>
      <c r="I47" s="149"/>
      <c r="P47" s="1"/>
      <c r="Q47" s="1"/>
      <c r="R47" s="1"/>
    </row>
    <row r="48" spans="3:18" ht="15" customHeight="1" x14ac:dyDescent="0.25">
      <c r="C48" s="11"/>
      <c r="D48" s="11"/>
      <c r="E48" s="17"/>
      <c r="F48" s="3"/>
      <c r="G48" s="17"/>
      <c r="H48" s="20"/>
      <c r="I48" s="149"/>
      <c r="P48" s="1"/>
      <c r="Q48" s="1"/>
      <c r="R48" s="1"/>
    </row>
    <row r="49" spans="3:18" ht="15" customHeight="1" thickBot="1" x14ac:dyDescent="0.3">
      <c r="C49" s="11"/>
      <c r="D49" s="11"/>
      <c r="E49" s="17"/>
      <c r="F49" s="3"/>
      <c r="G49" s="17"/>
      <c r="H49" s="20"/>
      <c r="I49" s="150"/>
      <c r="P49" s="1"/>
      <c r="Q49" s="1"/>
      <c r="R49" s="1"/>
    </row>
    <row r="50" spans="3:18" ht="15" customHeight="1" x14ac:dyDescent="0.25">
      <c r="C50" s="11"/>
      <c r="D50" s="11"/>
      <c r="E50" s="17"/>
      <c r="F50" s="3"/>
      <c r="G50" s="17"/>
      <c r="H50" s="20"/>
      <c r="I50" s="37"/>
      <c r="P50" s="1"/>
      <c r="Q50" s="1"/>
      <c r="R50" s="1"/>
    </row>
    <row r="51" spans="3:18" ht="15" customHeight="1" x14ac:dyDescent="0.25">
      <c r="C51" s="13">
        <v>42</v>
      </c>
      <c r="D51" s="13" t="s">
        <v>96</v>
      </c>
      <c r="E51" s="63">
        <f>G44+3</f>
        <v>46307</v>
      </c>
      <c r="F51" s="64" t="s">
        <v>83</v>
      </c>
      <c r="G51" s="63">
        <f>E51+4</f>
        <v>46311</v>
      </c>
      <c r="H51" s="69" t="s">
        <v>105</v>
      </c>
      <c r="I51" s="70"/>
      <c r="P51" s="1"/>
      <c r="Q51" s="1"/>
      <c r="R51" s="1"/>
    </row>
    <row r="52" spans="3:18" ht="15" customHeight="1" x14ac:dyDescent="0.25">
      <c r="C52" s="13">
        <v>43</v>
      </c>
      <c r="D52" s="13" t="s">
        <v>96</v>
      </c>
      <c r="E52" s="63">
        <f>G51+3</f>
        <v>46314</v>
      </c>
      <c r="F52" s="64" t="s">
        <v>83</v>
      </c>
      <c r="G52" s="63">
        <f>E52+4</f>
        <v>46318</v>
      </c>
      <c r="H52" s="69" t="s">
        <v>106</v>
      </c>
      <c r="I52" s="70"/>
      <c r="P52" s="1"/>
      <c r="Q52" s="1"/>
      <c r="R52" s="1"/>
    </row>
    <row r="53" spans="3:18" ht="15" customHeight="1" thickBot="1" x14ac:dyDescent="0.3">
      <c r="C53" s="11">
        <v>44</v>
      </c>
      <c r="D53" s="11">
        <v>9</v>
      </c>
      <c r="E53" s="17">
        <f>G52+3</f>
        <v>46321</v>
      </c>
      <c r="F53" s="3" t="s">
        <v>83</v>
      </c>
      <c r="G53" s="17">
        <f>E53+4</f>
        <v>46325</v>
      </c>
      <c r="H53" s="20" t="s">
        <v>96</v>
      </c>
      <c r="I53" s="35"/>
      <c r="P53" s="1"/>
      <c r="Q53" s="1"/>
      <c r="R53" s="1"/>
    </row>
    <row r="54" spans="3:18" ht="15" customHeight="1" x14ac:dyDescent="0.25">
      <c r="C54" s="11"/>
      <c r="D54" s="11"/>
      <c r="E54" s="17"/>
      <c r="F54" s="3"/>
      <c r="G54" s="17"/>
      <c r="H54" s="20"/>
      <c r="I54" s="148" t="s">
        <v>103</v>
      </c>
      <c r="P54" s="1"/>
      <c r="Q54" s="1"/>
      <c r="R54" s="1"/>
    </row>
    <row r="55" spans="3:18" ht="15" customHeight="1" x14ac:dyDescent="0.25">
      <c r="C55" s="11"/>
      <c r="D55" s="11"/>
      <c r="E55" s="17"/>
      <c r="F55" s="3"/>
      <c r="G55" s="17"/>
      <c r="H55" s="20"/>
      <c r="I55" s="149"/>
      <c r="P55" s="1"/>
      <c r="Q55" s="1"/>
      <c r="R55" s="1"/>
    </row>
    <row r="56" spans="3:18" ht="15" customHeight="1" x14ac:dyDescent="0.25">
      <c r="C56" s="11"/>
      <c r="D56" s="11"/>
      <c r="E56" s="17"/>
      <c r="F56" s="3"/>
      <c r="G56" s="17"/>
      <c r="H56" s="20"/>
      <c r="I56" s="149"/>
      <c r="P56" s="1"/>
      <c r="Q56" s="1"/>
      <c r="R56" s="1"/>
    </row>
    <row r="57" spans="3:18" ht="15" customHeight="1" x14ac:dyDescent="0.25">
      <c r="C57" s="11"/>
      <c r="D57" s="11"/>
      <c r="E57" s="17"/>
      <c r="F57" s="3"/>
      <c r="G57" s="17"/>
      <c r="H57" s="20"/>
      <c r="I57" s="149"/>
      <c r="P57" s="1"/>
      <c r="Q57" s="1"/>
      <c r="R57" s="1"/>
    </row>
    <row r="58" spans="3:18" ht="15" customHeight="1" thickBot="1" x14ac:dyDescent="0.3">
      <c r="C58" s="11"/>
      <c r="D58" s="11"/>
      <c r="E58" s="17"/>
      <c r="F58" s="3"/>
      <c r="G58" s="17"/>
      <c r="H58" s="20"/>
      <c r="I58" s="150"/>
      <c r="P58" s="1"/>
      <c r="Q58" s="1"/>
      <c r="R58" s="1"/>
    </row>
    <row r="59" spans="3:18" ht="15" customHeight="1" x14ac:dyDescent="0.25">
      <c r="C59" s="11"/>
      <c r="D59" s="11"/>
      <c r="E59" s="17"/>
      <c r="F59" s="3"/>
      <c r="G59" s="17"/>
      <c r="H59" s="20"/>
      <c r="I59" s="35"/>
      <c r="P59" s="1"/>
      <c r="Q59" s="1"/>
      <c r="R59" s="1"/>
    </row>
    <row r="60" spans="3:18" ht="15" customHeight="1" x14ac:dyDescent="0.25">
      <c r="C60" s="11"/>
      <c r="D60" s="11"/>
      <c r="E60" s="17"/>
      <c r="F60" s="3"/>
      <c r="G60" s="17"/>
      <c r="H60" s="20"/>
      <c r="I60" s="35"/>
      <c r="P60" s="1"/>
      <c r="Q60" s="1"/>
      <c r="R60" s="1"/>
    </row>
    <row r="61" spans="3:18" ht="15.75" customHeight="1" thickBot="1" x14ac:dyDescent="0.3">
      <c r="C61" s="11">
        <v>45</v>
      </c>
      <c r="D61" s="11">
        <v>10</v>
      </c>
      <c r="E61" s="17">
        <f>G53+3</f>
        <v>46328</v>
      </c>
      <c r="F61" s="3" t="s">
        <v>83</v>
      </c>
      <c r="G61" s="17">
        <f>E61+4</f>
        <v>46332</v>
      </c>
      <c r="H61" s="20" t="s">
        <v>96</v>
      </c>
      <c r="I61" s="35"/>
      <c r="J61" s="5"/>
      <c r="K61" s="5"/>
      <c r="L61" s="5"/>
      <c r="M61" s="5"/>
      <c r="N61" s="5"/>
      <c r="O61" s="1"/>
      <c r="P61" s="1"/>
      <c r="Q61" s="1"/>
      <c r="R61" s="1"/>
    </row>
    <row r="62" spans="3:18" ht="15.75" customHeight="1" x14ac:dyDescent="0.25">
      <c r="C62" s="11"/>
      <c r="D62" s="11"/>
      <c r="E62" s="17"/>
      <c r="F62" s="3"/>
      <c r="G62" s="17"/>
      <c r="H62" s="20"/>
      <c r="I62" s="148" t="s">
        <v>103</v>
      </c>
      <c r="J62" s="5"/>
      <c r="K62" s="5"/>
      <c r="L62" s="5"/>
      <c r="M62" s="5"/>
      <c r="N62" s="5"/>
      <c r="O62" s="1"/>
      <c r="P62" s="1"/>
      <c r="Q62" s="1"/>
      <c r="R62" s="1"/>
    </row>
    <row r="63" spans="3:18" ht="15.75" customHeight="1" x14ac:dyDescent="0.25">
      <c r="C63" s="11"/>
      <c r="D63" s="11"/>
      <c r="E63" s="17"/>
      <c r="F63" s="3"/>
      <c r="G63" s="17"/>
      <c r="H63" s="20"/>
      <c r="I63" s="149"/>
      <c r="J63" s="5"/>
      <c r="K63" s="5"/>
      <c r="L63" s="5"/>
      <c r="M63" s="5"/>
      <c r="N63" s="5"/>
      <c r="O63" s="1"/>
      <c r="P63" s="1"/>
      <c r="Q63" s="1"/>
      <c r="R63" s="1"/>
    </row>
    <row r="64" spans="3:18" ht="15.75" customHeight="1" x14ac:dyDescent="0.25">
      <c r="C64" s="11"/>
      <c r="D64" s="11"/>
      <c r="E64" s="17"/>
      <c r="F64" s="3"/>
      <c r="G64" s="17"/>
      <c r="H64" s="20"/>
      <c r="I64" s="149"/>
      <c r="J64" s="5"/>
      <c r="K64" s="5"/>
      <c r="L64" s="5"/>
      <c r="M64" s="5"/>
      <c r="N64" s="5"/>
      <c r="O64" s="1"/>
      <c r="P64" s="1"/>
      <c r="Q64" s="1"/>
      <c r="R64" s="1"/>
    </row>
    <row r="65" spans="3:18" ht="15.75" customHeight="1" x14ac:dyDescent="0.25">
      <c r="C65" s="11"/>
      <c r="D65" s="11"/>
      <c r="E65" s="17"/>
      <c r="F65" s="3"/>
      <c r="G65" s="17"/>
      <c r="H65" s="20"/>
      <c r="I65" s="149"/>
      <c r="J65" s="5"/>
      <c r="K65" s="5"/>
      <c r="L65" s="5"/>
      <c r="M65" s="5"/>
      <c r="N65" s="5"/>
      <c r="O65" s="1"/>
      <c r="P65" s="1"/>
      <c r="Q65" s="1"/>
      <c r="R65" s="1"/>
    </row>
    <row r="66" spans="3:18" ht="15.75" customHeight="1" thickBot="1" x14ac:dyDescent="0.3">
      <c r="C66" s="11"/>
      <c r="D66" s="11"/>
      <c r="E66" s="17"/>
      <c r="F66" s="3"/>
      <c r="G66" s="17"/>
      <c r="H66" s="20"/>
      <c r="I66" s="150"/>
      <c r="J66" s="5"/>
      <c r="K66" s="5"/>
      <c r="L66" s="5"/>
      <c r="M66" s="5"/>
      <c r="N66" s="5"/>
      <c r="O66" s="1"/>
      <c r="P66" s="1"/>
      <c r="Q66" s="1"/>
      <c r="R66" s="1"/>
    </row>
    <row r="67" spans="3:18" ht="15.75" customHeight="1" x14ac:dyDescent="0.25">
      <c r="C67" s="11"/>
      <c r="D67" s="11"/>
      <c r="E67" s="17"/>
      <c r="F67" s="3"/>
      <c r="G67" s="17"/>
      <c r="H67" s="20"/>
      <c r="I67" s="35"/>
      <c r="J67" s="5"/>
      <c r="K67" s="5"/>
      <c r="L67" s="5"/>
      <c r="M67" s="5"/>
      <c r="N67" s="5"/>
      <c r="O67" s="1"/>
      <c r="P67" s="1"/>
      <c r="Q67" s="1"/>
      <c r="R67" s="1"/>
    </row>
    <row r="68" spans="3:18" ht="16.5" customHeight="1" thickBot="1" x14ac:dyDescent="0.3">
      <c r="C68" s="11">
        <v>46</v>
      </c>
      <c r="D68" s="11">
        <v>11</v>
      </c>
      <c r="E68" s="17">
        <f>G61+3</f>
        <v>46335</v>
      </c>
      <c r="F68" s="3" t="s">
        <v>83</v>
      </c>
      <c r="G68" s="17">
        <f>E68+4</f>
        <v>46339</v>
      </c>
      <c r="H68" s="20" t="s">
        <v>96</v>
      </c>
      <c r="I68" s="35"/>
      <c r="J68" s="5"/>
      <c r="K68" s="5"/>
      <c r="L68" s="5"/>
      <c r="M68" s="5"/>
      <c r="N68" s="5"/>
      <c r="O68" s="1"/>
      <c r="P68" s="1"/>
      <c r="Q68" s="1"/>
      <c r="R68" s="1"/>
    </row>
    <row r="69" spans="3:18" ht="15" customHeight="1" x14ac:dyDescent="0.25">
      <c r="C69" s="11"/>
      <c r="D69" s="11"/>
      <c r="E69" s="17"/>
      <c r="F69" s="3"/>
      <c r="G69" s="17"/>
      <c r="H69" s="20"/>
      <c r="I69" s="148" t="s">
        <v>103</v>
      </c>
      <c r="J69" s="5"/>
      <c r="K69" s="5"/>
      <c r="L69" s="5"/>
      <c r="M69" s="5"/>
      <c r="N69" s="5"/>
      <c r="O69" s="1"/>
      <c r="P69" s="1"/>
      <c r="Q69" s="1"/>
      <c r="R69" s="1"/>
    </row>
    <row r="70" spans="3:18" ht="15" customHeight="1" x14ac:dyDescent="0.25">
      <c r="C70" s="11"/>
      <c r="D70" s="11"/>
      <c r="E70" s="17"/>
      <c r="F70" s="3"/>
      <c r="G70" s="17"/>
      <c r="H70" s="20"/>
      <c r="I70" s="149"/>
      <c r="J70" s="5"/>
      <c r="K70" s="5"/>
      <c r="L70" s="5"/>
      <c r="M70" s="5"/>
      <c r="N70" s="5"/>
      <c r="O70" s="1"/>
      <c r="P70" s="1"/>
      <c r="Q70" s="1"/>
      <c r="R70" s="1"/>
    </row>
    <row r="71" spans="3:18" ht="15" customHeight="1" x14ac:dyDescent="0.25">
      <c r="C71" s="11"/>
      <c r="D71" s="11"/>
      <c r="E71" s="17"/>
      <c r="F71" s="3"/>
      <c r="G71" s="17"/>
      <c r="H71" s="20"/>
      <c r="I71" s="149"/>
      <c r="J71" s="5"/>
      <c r="K71" s="5"/>
      <c r="L71" s="5"/>
      <c r="M71" s="5"/>
      <c r="N71" s="5"/>
      <c r="O71" s="1"/>
      <c r="P71" s="1"/>
      <c r="Q71" s="1"/>
      <c r="R71" s="1"/>
    </row>
    <row r="72" spans="3:18" ht="15" customHeight="1" x14ac:dyDescent="0.25">
      <c r="C72" s="11"/>
      <c r="D72" s="11"/>
      <c r="E72" s="17"/>
      <c r="F72" s="3"/>
      <c r="G72" s="17"/>
      <c r="H72" s="20"/>
      <c r="I72" s="149"/>
      <c r="J72" s="5"/>
      <c r="K72" s="5"/>
      <c r="L72" s="5"/>
      <c r="M72" s="5"/>
      <c r="N72" s="5"/>
      <c r="O72" s="1"/>
      <c r="P72" s="1"/>
      <c r="Q72" s="1"/>
      <c r="R72" s="1"/>
    </row>
    <row r="73" spans="3:18" ht="15.75" customHeight="1" thickBot="1" x14ac:dyDescent="0.3">
      <c r="C73" s="11"/>
      <c r="D73" s="11"/>
      <c r="E73" s="17"/>
      <c r="F73" s="3"/>
      <c r="G73" s="17"/>
      <c r="H73" s="20"/>
      <c r="I73" s="150"/>
      <c r="J73" s="5"/>
      <c r="K73" s="5"/>
      <c r="L73" s="5"/>
      <c r="M73" s="5"/>
      <c r="N73" s="5"/>
      <c r="O73" s="1"/>
      <c r="P73" s="1"/>
      <c r="Q73" s="1"/>
      <c r="R73" s="1"/>
    </row>
    <row r="74" spans="3:18" x14ac:dyDescent="0.25">
      <c r="C74" s="11"/>
      <c r="D74" s="11"/>
      <c r="E74" s="17"/>
      <c r="F74" s="3"/>
      <c r="G74" s="17"/>
      <c r="H74" s="20"/>
      <c r="I74" s="35"/>
      <c r="J74" s="5"/>
      <c r="K74" s="5"/>
      <c r="L74" s="5"/>
      <c r="M74" s="5"/>
      <c r="N74" s="5"/>
      <c r="O74" s="1"/>
      <c r="P74" s="1"/>
      <c r="Q74" s="1"/>
      <c r="R74" s="1"/>
    </row>
    <row r="75" spans="3:18" ht="16.5" customHeight="1" thickBot="1" x14ac:dyDescent="0.3">
      <c r="C75" s="11">
        <v>47</v>
      </c>
      <c r="D75" s="11">
        <v>12</v>
      </c>
      <c r="E75" s="17">
        <f>G68+3</f>
        <v>46342</v>
      </c>
      <c r="F75" s="3" t="s">
        <v>83</v>
      </c>
      <c r="G75" s="17">
        <f>E75+4</f>
        <v>46346</v>
      </c>
      <c r="H75" s="20" t="s">
        <v>96</v>
      </c>
      <c r="I75" s="35"/>
      <c r="J75" s="5"/>
      <c r="K75" s="5"/>
      <c r="L75" s="5"/>
      <c r="M75" s="5"/>
      <c r="N75" s="5"/>
      <c r="O75" s="1"/>
      <c r="P75" s="1"/>
      <c r="Q75" s="1"/>
      <c r="R75" s="1"/>
    </row>
    <row r="76" spans="3:18" ht="15" customHeight="1" x14ac:dyDescent="0.25">
      <c r="C76" s="11"/>
      <c r="D76" s="11"/>
      <c r="E76" s="17"/>
      <c r="F76" s="3"/>
      <c r="G76" s="17"/>
      <c r="H76" s="20"/>
      <c r="I76" s="148" t="s">
        <v>103</v>
      </c>
    </row>
    <row r="77" spans="3:18" ht="15" customHeight="1" x14ac:dyDescent="0.25">
      <c r="C77" s="11"/>
      <c r="D77" s="11"/>
      <c r="E77" s="17"/>
      <c r="F77" s="3"/>
      <c r="G77" s="17"/>
      <c r="H77" s="20"/>
      <c r="I77" s="149"/>
    </row>
    <row r="78" spans="3:18" ht="15" customHeight="1" x14ac:dyDescent="0.25">
      <c r="C78" s="11"/>
      <c r="D78" s="11"/>
      <c r="E78" s="17"/>
      <c r="F78" s="3"/>
      <c r="G78" s="17"/>
      <c r="H78" s="20"/>
      <c r="I78" s="149"/>
    </row>
    <row r="79" spans="3:18" ht="15" customHeight="1" x14ac:dyDescent="0.25">
      <c r="C79" s="11"/>
      <c r="D79" s="11"/>
      <c r="E79" s="17"/>
      <c r="F79" s="3"/>
      <c r="G79" s="17"/>
      <c r="H79" s="20"/>
      <c r="I79" s="149"/>
    </row>
    <row r="80" spans="3:18" ht="15.75" customHeight="1" thickBot="1" x14ac:dyDescent="0.3">
      <c r="C80" s="11"/>
      <c r="D80" s="11"/>
      <c r="E80" s="17"/>
      <c r="F80" s="3"/>
      <c r="G80" s="17"/>
      <c r="H80" s="20"/>
      <c r="I80" s="150"/>
    </row>
    <row r="81" spans="3:9" ht="14.25" customHeight="1" thickBot="1" x14ac:dyDescent="0.3">
      <c r="C81" s="11">
        <v>48</v>
      </c>
      <c r="D81" s="11">
        <v>13</v>
      </c>
      <c r="E81" s="17">
        <f>G75+3</f>
        <v>46349</v>
      </c>
      <c r="F81" s="3" t="s">
        <v>83</v>
      </c>
      <c r="G81" s="17">
        <f>E81+4</f>
        <v>46353</v>
      </c>
      <c r="H81" s="20" t="s">
        <v>96</v>
      </c>
      <c r="I81" s="35"/>
    </row>
    <row r="82" spans="3:9" ht="15" customHeight="1" x14ac:dyDescent="0.25">
      <c r="C82" s="11"/>
      <c r="D82" s="11"/>
      <c r="E82" s="17"/>
      <c r="F82" s="3"/>
      <c r="G82" s="17"/>
      <c r="H82" s="20"/>
      <c r="I82" s="148" t="s">
        <v>103</v>
      </c>
    </row>
    <row r="83" spans="3:9" ht="15" customHeight="1" x14ac:dyDescent="0.25">
      <c r="C83" s="11"/>
      <c r="D83" s="11"/>
      <c r="E83" s="17"/>
      <c r="F83" s="3"/>
      <c r="G83" s="17"/>
      <c r="H83" s="20"/>
      <c r="I83" s="149"/>
    </row>
    <row r="84" spans="3:9" ht="15" customHeight="1" x14ac:dyDescent="0.25">
      <c r="C84" s="11"/>
      <c r="D84" s="11"/>
      <c r="E84" s="17"/>
      <c r="F84" s="3"/>
      <c r="G84" s="17"/>
      <c r="H84" s="20"/>
      <c r="I84" s="149"/>
    </row>
    <row r="85" spans="3:9" ht="15" customHeight="1" x14ac:dyDescent="0.25">
      <c r="C85" s="11"/>
      <c r="D85" s="11"/>
      <c r="E85" s="17"/>
      <c r="F85" s="3"/>
      <c r="G85" s="17"/>
      <c r="H85" s="20"/>
      <c r="I85" s="149"/>
    </row>
    <row r="86" spans="3:9" ht="15.75" customHeight="1" thickBot="1" x14ac:dyDescent="0.3">
      <c r="C86" s="11"/>
      <c r="D86" s="11"/>
      <c r="E86" s="17"/>
      <c r="F86" s="3"/>
      <c r="G86" s="17"/>
      <c r="H86" s="20"/>
      <c r="I86" s="150"/>
    </row>
    <row r="87" spans="3:9" ht="16.5" customHeight="1" thickBot="1" x14ac:dyDescent="0.3">
      <c r="C87" s="11">
        <v>49</v>
      </c>
      <c r="D87" s="11">
        <v>14</v>
      </c>
      <c r="E87" s="17">
        <f>G81+3</f>
        <v>46356</v>
      </c>
      <c r="F87" s="3" t="s">
        <v>83</v>
      </c>
      <c r="G87" s="17">
        <f>E87+4</f>
        <v>46360</v>
      </c>
      <c r="H87" s="20" t="s">
        <v>96</v>
      </c>
      <c r="I87" s="35"/>
    </row>
    <row r="88" spans="3:9" ht="15" customHeight="1" x14ac:dyDescent="0.25">
      <c r="C88" s="11"/>
      <c r="D88" s="11"/>
      <c r="E88" s="17"/>
      <c r="F88" s="3"/>
      <c r="G88" s="17"/>
      <c r="H88" s="20"/>
      <c r="I88" s="148" t="s">
        <v>103</v>
      </c>
    </row>
    <row r="89" spans="3:9" ht="15" customHeight="1" x14ac:dyDescent="0.25">
      <c r="C89" s="11"/>
      <c r="D89" s="11"/>
      <c r="E89" s="17"/>
      <c r="F89" s="3"/>
      <c r="G89" s="17"/>
      <c r="H89" s="20"/>
      <c r="I89" s="149"/>
    </row>
    <row r="90" spans="3:9" ht="15" customHeight="1" x14ac:dyDescent="0.25">
      <c r="C90" s="11"/>
      <c r="D90" s="11"/>
      <c r="E90" s="17"/>
      <c r="F90" s="3"/>
      <c r="G90" s="17"/>
      <c r="H90" s="20"/>
      <c r="I90" s="149"/>
    </row>
    <row r="91" spans="3:9" ht="15" customHeight="1" x14ac:dyDescent="0.25">
      <c r="C91" s="11"/>
      <c r="D91" s="11"/>
      <c r="E91" s="17"/>
      <c r="F91" s="3"/>
      <c r="G91" s="17"/>
      <c r="H91" s="20"/>
      <c r="I91" s="149"/>
    </row>
    <row r="92" spans="3:9" ht="15.75" customHeight="1" thickBot="1" x14ac:dyDescent="0.3">
      <c r="C92" s="11"/>
      <c r="D92" s="11"/>
      <c r="E92" s="17"/>
      <c r="F92" s="3"/>
      <c r="G92" s="17"/>
      <c r="H92" s="20"/>
      <c r="I92" s="150"/>
    </row>
    <row r="93" spans="3:9" ht="16.5" customHeight="1" thickBot="1" x14ac:dyDescent="0.3">
      <c r="C93" s="11">
        <v>50</v>
      </c>
      <c r="D93" s="11">
        <v>15</v>
      </c>
      <c r="E93" s="17">
        <f>G87+3</f>
        <v>46363</v>
      </c>
      <c r="F93" s="3" t="s">
        <v>83</v>
      </c>
      <c r="G93" s="17">
        <f>E93+4</f>
        <v>46367</v>
      </c>
      <c r="H93" s="20" t="s">
        <v>96</v>
      </c>
      <c r="I93" s="35"/>
    </row>
    <row r="94" spans="3:9" ht="15" customHeight="1" x14ac:dyDescent="0.25">
      <c r="C94" s="11"/>
      <c r="D94" s="11"/>
      <c r="E94" s="17"/>
      <c r="F94" s="3"/>
      <c r="G94" s="17"/>
      <c r="H94" s="20"/>
      <c r="I94" s="148" t="s">
        <v>103</v>
      </c>
    </row>
    <row r="95" spans="3:9" ht="15" customHeight="1" x14ac:dyDescent="0.25">
      <c r="C95" s="11"/>
      <c r="D95" s="11"/>
      <c r="E95" s="17"/>
      <c r="F95" s="3"/>
      <c r="G95" s="17"/>
      <c r="H95" s="20"/>
      <c r="I95" s="149"/>
    </row>
    <row r="96" spans="3:9" ht="15" customHeight="1" x14ac:dyDescent="0.25">
      <c r="C96" s="11"/>
      <c r="D96" s="11"/>
      <c r="E96" s="17"/>
      <c r="F96" s="3"/>
      <c r="G96" s="17"/>
      <c r="H96" s="20"/>
      <c r="I96" s="149"/>
    </row>
    <row r="97" spans="3:10" ht="15" customHeight="1" x14ac:dyDescent="0.25">
      <c r="C97" s="11"/>
      <c r="D97" s="11"/>
      <c r="E97" s="17"/>
      <c r="F97" s="3"/>
      <c r="G97" s="17"/>
      <c r="H97" s="20"/>
      <c r="I97" s="149"/>
    </row>
    <row r="98" spans="3:10" ht="15.75" customHeight="1" thickBot="1" x14ac:dyDescent="0.3">
      <c r="C98" s="11"/>
      <c r="D98" s="11"/>
      <c r="E98" s="17"/>
      <c r="F98" s="3"/>
      <c r="G98" s="17"/>
      <c r="H98" s="20"/>
      <c r="I98" s="150"/>
    </row>
    <row r="99" spans="3:10" ht="16.5" customHeight="1" thickBot="1" x14ac:dyDescent="0.3">
      <c r="C99" s="11">
        <v>51</v>
      </c>
      <c r="D99" s="11">
        <v>16</v>
      </c>
      <c r="E99" s="17">
        <f>G93+3</f>
        <v>46370</v>
      </c>
      <c r="F99" s="3" t="s">
        <v>83</v>
      </c>
      <c r="G99" s="17">
        <f>E99+4</f>
        <v>46374</v>
      </c>
      <c r="H99" s="21"/>
      <c r="I99" s="35"/>
    </row>
    <row r="100" spans="3:10" ht="15" customHeight="1" x14ac:dyDescent="0.25">
      <c r="C100" s="11"/>
      <c r="D100" s="11"/>
      <c r="E100" s="17"/>
      <c r="F100" s="3"/>
      <c r="G100" s="17"/>
      <c r="H100" s="20"/>
      <c r="I100" s="148" t="s">
        <v>146</v>
      </c>
      <c r="J100" s="80"/>
    </row>
    <row r="101" spans="3:10" ht="15" customHeight="1" x14ac:dyDescent="0.3">
      <c r="C101" s="11"/>
      <c r="D101" s="11"/>
      <c r="E101" s="17"/>
      <c r="F101" s="3"/>
      <c r="G101" s="17"/>
      <c r="H101" s="20"/>
      <c r="I101" s="149"/>
      <c r="J101" s="78" t="s">
        <v>107</v>
      </c>
    </row>
    <row r="102" spans="3:10" ht="15" customHeight="1" x14ac:dyDescent="0.25">
      <c r="C102" s="11"/>
      <c r="D102" s="11"/>
      <c r="E102" s="17"/>
      <c r="F102" s="3"/>
      <c r="G102" s="17"/>
      <c r="H102" s="20"/>
      <c r="I102" s="149"/>
      <c r="J102" s="79"/>
    </row>
    <row r="103" spans="3:10" ht="15" customHeight="1" x14ac:dyDescent="0.3">
      <c r="C103" s="11"/>
      <c r="D103" s="11"/>
      <c r="E103" s="17"/>
      <c r="F103" s="3"/>
      <c r="G103" s="17"/>
      <c r="H103" s="20"/>
      <c r="I103" s="149"/>
      <c r="J103" s="78" t="s">
        <v>108</v>
      </c>
    </row>
    <row r="104" spans="3:10" ht="15.75" customHeight="1" thickBot="1" x14ac:dyDescent="0.3">
      <c r="C104" s="11"/>
      <c r="D104" s="11"/>
      <c r="E104" s="17"/>
      <c r="F104" s="3"/>
      <c r="G104" s="17"/>
      <c r="H104" s="20"/>
      <c r="I104" s="150"/>
    </row>
    <row r="105" spans="3:10" ht="96" customHeight="1" x14ac:dyDescent="0.25">
      <c r="C105" s="11">
        <v>52</v>
      </c>
      <c r="D105" s="11" t="s">
        <v>96</v>
      </c>
      <c r="E105" s="17">
        <f>G99+3</f>
        <v>46377</v>
      </c>
      <c r="F105" s="3" t="s">
        <v>83</v>
      </c>
      <c r="G105" s="17">
        <f>E105+4</f>
        <v>46381</v>
      </c>
      <c r="H105" s="65" t="s">
        <v>109</v>
      </c>
      <c r="I105" s="131" t="s">
        <v>110</v>
      </c>
    </row>
    <row r="106" spans="3:10" x14ac:dyDescent="0.25">
      <c r="C106" s="13">
        <v>1</v>
      </c>
      <c r="D106" s="13" t="s">
        <v>96</v>
      </c>
      <c r="E106" s="63">
        <f>G105+3</f>
        <v>46384</v>
      </c>
      <c r="F106" s="64" t="s">
        <v>83</v>
      </c>
      <c r="G106" s="63">
        <f>E106+4</f>
        <v>46388</v>
      </c>
      <c r="H106" s="65" t="s">
        <v>111</v>
      </c>
      <c r="I106" s="70"/>
    </row>
    <row r="107" spans="3:10" ht="16.5" customHeight="1" thickBot="1" x14ac:dyDescent="0.3">
      <c r="C107" s="13">
        <v>2</v>
      </c>
      <c r="D107" s="13"/>
      <c r="E107" s="63">
        <f>G106+3</f>
        <v>46391</v>
      </c>
      <c r="F107" s="64" t="s">
        <v>83</v>
      </c>
      <c r="G107" s="63">
        <f>E107+4</f>
        <v>46395</v>
      </c>
      <c r="H107" s="65"/>
      <c r="I107" s="70"/>
    </row>
    <row r="108" spans="3:10" ht="15.75" customHeight="1" x14ac:dyDescent="0.25">
      <c r="C108" s="11"/>
      <c r="D108" s="11"/>
      <c r="E108" s="63"/>
      <c r="F108" s="64"/>
      <c r="G108" s="63"/>
      <c r="H108" s="65"/>
      <c r="I108" s="155" t="s">
        <v>103</v>
      </c>
    </row>
    <row r="109" spans="3:10" x14ac:dyDescent="0.25">
      <c r="C109" s="11"/>
      <c r="D109" s="11"/>
      <c r="E109" s="63"/>
      <c r="F109" s="64"/>
      <c r="G109" s="63"/>
      <c r="H109" s="65"/>
      <c r="I109" s="149"/>
    </row>
    <row r="110" spans="3:10" x14ac:dyDescent="0.25">
      <c r="C110" s="11"/>
      <c r="D110" s="11"/>
      <c r="E110" s="63"/>
      <c r="F110" s="64"/>
      <c r="G110" s="63"/>
      <c r="H110" s="65" t="s">
        <v>112</v>
      </c>
      <c r="I110" s="149"/>
    </row>
    <row r="111" spans="3:10" x14ac:dyDescent="0.25">
      <c r="C111" s="11"/>
      <c r="D111" s="11"/>
      <c r="E111" s="63"/>
      <c r="F111" s="64"/>
      <c r="G111" s="63"/>
      <c r="H111" s="65"/>
      <c r="I111" s="149"/>
    </row>
    <row r="112" spans="3:10" ht="16.5" customHeight="1" thickBot="1" x14ac:dyDescent="0.3">
      <c r="C112" s="11"/>
      <c r="D112" s="11"/>
      <c r="E112" s="63"/>
      <c r="F112" s="64"/>
      <c r="G112" s="63"/>
      <c r="H112" s="65"/>
      <c r="I112" s="150"/>
    </row>
    <row r="113" spans="3:9" x14ac:dyDescent="0.25">
      <c r="C113" s="11"/>
      <c r="D113" s="11"/>
      <c r="E113" s="17"/>
      <c r="F113" s="3"/>
      <c r="G113" s="17"/>
      <c r="H113" s="21"/>
      <c r="I113" s="35"/>
    </row>
    <row r="114" spans="3:9" ht="15" customHeight="1" thickBot="1" x14ac:dyDescent="0.3">
      <c r="C114" s="11">
        <v>3</v>
      </c>
      <c r="D114" s="11">
        <v>17</v>
      </c>
      <c r="E114" s="17">
        <f>G107+3</f>
        <v>46398</v>
      </c>
      <c r="F114" s="3" t="s">
        <v>83</v>
      </c>
      <c r="G114" s="17">
        <f>E114+4</f>
        <v>46402</v>
      </c>
      <c r="H114" s="20" t="s">
        <v>96</v>
      </c>
      <c r="I114" s="35"/>
    </row>
    <row r="115" spans="3:9" ht="15" customHeight="1" x14ac:dyDescent="0.25">
      <c r="C115" s="11"/>
      <c r="D115" s="11"/>
      <c r="E115" s="17"/>
      <c r="F115" s="3"/>
      <c r="G115" s="17"/>
      <c r="H115" s="20"/>
      <c r="I115" s="151" t="s">
        <v>103</v>
      </c>
    </row>
    <row r="116" spans="3:9" ht="15" customHeight="1" x14ac:dyDescent="0.25">
      <c r="C116" s="11"/>
      <c r="D116" s="11"/>
      <c r="E116" s="17"/>
      <c r="F116" s="3"/>
      <c r="G116" s="17"/>
      <c r="H116" s="20"/>
      <c r="I116" s="149"/>
    </row>
    <row r="117" spans="3:9" ht="15" customHeight="1" x14ac:dyDescent="0.25">
      <c r="C117" s="11"/>
      <c r="D117" s="11"/>
      <c r="E117" s="17"/>
      <c r="F117" s="3"/>
      <c r="G117" s="17"/>
      <c r="H117" s="20"/>
      <c r="I117" s="149"/>
    </row>
    <row r="118" spans="3:9" ht="15.75" customHeight="1" x14ac:dyDescent="0.25">
      <c r="C118" s="11"/>
      <c r="D118" s="11"/>
      <c r="E118" s="17"/>
      <c r="F118" s="3"/>
      <c r="G118" s="17"/>
      <c r="H118" s="20"/>
      <c r="I118" s="149"/>
    </row>
    <row r="119" spans="3:9" ht="15.75" customHeight="1" thickBot="1" x14ac:dyDescent="0.3">
      <c r="C119" s="11"/>
      <c r="D119" s="11"/>
      <c r="E119" s="17"/>
      <c r="F119" s="3"/>
      <c r="G119" s="17"/>
      <c r="H119" s="20"/>
      <c r="I119" s="150"/>
    </row>
    <row r="120" spans="3:9" x14ac:dyDescent="0.25">
      <c r="C120" s="18"/>
      <c r="D120" s="18"/>
      <c r="E120" s="18"/>
      <c r="F120" s="5"/>
      <c r="G120" s="18"/>
      <c r="H120" s="23"/>
      <c r="I120" s="35"/>
    </row>
    <row r="121" spans="3:9" x14ac:dyDescent="0.25">
      <c r="C121" s="18"/>
      <c r="D121" s="161" t="s">
        <v>89</v>
      </c>
      <c r="E121" s="162"/>
      <c r="F121" s="5"/>
      <c r="G121" s="18"/>
      <c r="H121" s="23"/>
      <c r="I121" s="35"/>
    </row>
    <row r="122" spans="3:9" ht="30" customHeight="1" x14ac:dyDescent="0.25">
      <c r="C122" s="18"/>
      <c r="D122" s="26" t="s">
        <v>90</v>
      </c>
      <c r="E122" s="30">
        <v>24</v>
      </c>
      <c r="F122" s="5"/>
      <c r="G122" s="18"/>
      <c r="H122" s="23"/>
      <c r="I122" s="35"/>
    </row>
    <row r="123" spans="3:9" ht="30" customHeight="1" x14ac:dyDescent="0.25">
      <c r="C123" s="18"/>
      <c r="D123" s="26" t="s">
        <v>91</v>
      </c>
      <c r="E123" s="30">
        <v>36</v>
      </c>
      <c r="F123" s="5"/>
      <c r="G123" s="18"/>
      <c r="H123" s="23"/>
      <c r="I123" s="35"/>
    </row>
    <row r="124" spans="3:9" ht="30" customHeight="1" x14ac:dyDescent="0.25">
      <c r="C124" s="18"/>
      <c r="D124" s="26" t="s">
        <v>93</v>
      </c>
      <c r="E124" s="30">
        <v>24</v>
      </c>
      <c r="F124" s="5"/>
      <c r="G124" s="18"/>
      <c r="H124" s="23"/>
      <c r="I124" s="35"/>
    </row>
    <row r="125" spans="3:9" ht="30" customHeight="1" x14ac:dyDescent="0.25">
      <c r="C125" s="18"/>
      <c r="D125" s="27" t="s">
        <v>94</v>
      </c>
      <c r="E125" s="31">
        <v>22</v>
      </c>
      <c r="F125" s="5"/>
      <c r="G125" s="18"/>
      <c r="H125" s="23"/>
      <c r="I125" s="35"/>
    </row>
    <row r="126" spans="3:9" x14ac:dyDescent="0.25">
      <c r="C126" s="18"/>
      <c r="D126" s="153" t="s">
        <v>95</v>
      </c>
      <c r="E126" s="154"/>
      <c r="F126" s="5"/>
      <c r="G126" s="18"/>
      <c r="H126" s="23"/>
      <c r="I126" s="35"/>
    </row>
    <row r="129" spans="1:4" x14ac:dyDescent="0.25">
      <c r="A129" s="47" t="s">
        <v>136</v>
      </c>
    </row>
    <row r="130" spans="1:4" x14ac:dyDescent="0.25">
      <c r="A130" s="141" t="s">
        <v>137</v>
      </c>
      <c r="B130" s="141"/>
      <c r="C130" s="142"/>
      <c r="D130" s="142"/>
    </row>
    <row r="131" spans="1:4" x14ac:dyDescent="0.25">
      <c r="A131" s="143" t="s">
        <v>138</v>
      </c>
      <c r="B131" s="144"/>
      <c r="C131" s="145"/>
      <c r="D131" s="145"/>
    </row>
  </sheetData>
  <mergeCells count="25">
    <mergeCell ref="D126:E126"/>
    <mergeCell ref="I108:I112"/>
    <mergeCell ref="F1:H1"/>
    <mergeCell ref="C3:H3"/>
    <mergeCell ref="I54:I58"/>
    <mergeCell ref="I45:I49"/>
    <mergeCell ref="D121:E121"/>
    <mergeCell ref="D1:D2"/>
    <mergeCell ref="I88:I92"/>
    <mergeCell ref="I82:I86"/>
    <mergeCell ref="I69:I73"/>
    <mergeCell ref="I7:I12"/>
    <mergeCell ref="I94:I98"/>
    <mergeCell ref="I4:I6"/>
    <mergeCell ref="C1:C2"/>
    <mergeCell ref="I20:I24"/>
    <mergeCell ref="N9:O9"/>
    <mergeCell ref="I26:I30"/>
    <mergeCell ref="I115:I119"/>
    <mergeCell ref="I100:I104"/>
    <mergeCell ref="I76:I80"/>
    <mergeCell ref="I32:I36"/>
    <mergeCell ref="I62:I66"/>
    <mergeCell ref="I14:I18"/>
    <mergeCell ref="I39:I43"/>
  </mergeCells>
  <hyperlinks>
    <hyperlink ref="C4" location="'34_1'!A1" display="34" xr:uid="{00000000-0004-0000-0100-000000000000}"/>
    <hyperlink ref="D4" location="'34_1'!A1" display="34" xr:uid="{00000000-0004-0000-0100-000001000000}"/>
    <hyperlink ref="C7" location="'35_2'!A1" display="35" xr:uid="{00000000-0004-0000-0100-000002000000}"/>
    <hyperlink ref="D7" location="'35_2'!A1" display="35" xr:uid="{00000000-0004-0000-0100-000003000000}"/>
    <hyperlink ref="C13" location="'36_3'!A1" display="36" xr:uid="{00000000-0004-0000-0100-000004000000}"/>
    <hyperlink ref="D13" location="'36_3'!A1" display="36" xr:uid="{00000000-0004-0000-0100-000005000000}"/>
    <hyperlink ref="C19" location="'37_4'!A1" display="37" xr:uid="{00000000-0004-0000-0100-000006000000}"/>
    <hyperlink ref="D19" location="'37_4'!A1" display="37" xr:uid="{00000000-0004-0000-0100-000007000000}"/>
    <hyperlink ref="C25" location="'38_5'!A1" display="38" xr:uid="{00000000-0004-0000-0100-000008000000}"/>
    <hyperlink ref="D25" location="'38_5'!A1" display="38" xr:uid="{00000000-0004-0000-0100-000009000000}"/>
    <hyperlink ref="C31" location="'39_6'!A1" display="39" xr:uid="{00000000-0004-0000-0100-00000A000000}"/>
    <hyperlink ref="D31" location="'39_6'!A1" display="39" xr:uid="{00000000-0004-0000-0100-00000B000000}"/>
    <hyperlink ref="C38" location="'40_7'!A1" display="40" xr:uid="{00000000-0004-0000-0100-00000C000000}"/>
    <hyperlink ref="D38" location="'40_7'!A1" display="40" xr:uid="{00000000-0004-0000-0100-00000D000000}"/>
    <hyperlink ref="C44" location="'41_8'!A1" display="41" xr:uid="{00000000-0004-0000-0100-00000E000000}"/>
    <hyperlink ref="D44" location="'41_8'!A1" display="41" xr:uid="{00000000-0004-0000-0100-00000F000000}"/>
    <hyperlink ref="C53" location="'44_9'!A1" display="44" xr:uid="{00000000-0004-0000-0100-000010000000}"/>
    <hyperlink ref="D53" location="'44_9'!A1" display="44" xr:uid="{00000000-0004-0000-0100-000011000000}"/>
    <hyperlink ref="C61" location="'45_10'!A1" display="45" xr:uid="{00000000-0004-0000-0100-000012000000}"/>
    <hyperlink ref="D61" location="'45_10'!A1" display="45" xr:uid="{00000000-0004-0000-0100-000013000000}"/>
    <hyperlink ref="C68" location="'46_11'!A1" display="46" xr:uid="{00000000-0004-0000-0100-000014000000}"/>
    <hyperlink ref="D68" location="'46_11'!A1" display="46" xr:uid="{00000000-0004-0000-0100-000015000000}"/>
    <hyperlink ref="C75" location="'47_12'!A1" display="47" xr:uid="{00000000-0004-0000-0100-000016000000}"/>
    <hyperlink ref="D75" location="'47_12'!A1" display="47" xr:uid="{00000000-0004-0000-0100-000017000000}"/>
    <hyperlink ref="C81" location="'48_13'!A1" display="48" xr:uid="{00000000-0004-0000-0100-000018000000}"/>
    <hyperlink ref="D81" location="'48_13'!A1" display="48" xr:uid="{00000000-0004-0000-0100-000019000000}"/>
    <hyperlink ref="C87" location="'49_14'!A1" display="49" xr:uid="{00000000-0004-0000-0100-00001A000000}"/>
    <hyperlink ref="D87" location="'49_14'!A1" display="49" xr:uid="{00000000-0004-0000-0100-00001B000000}"/>
    <hyperlink ref="C93" location="'50_15'!A1" display="50" xr:uid="{00000000-0004-0000-0100-00001C000000}"/>
    <hyperlink ref="D93" location="'50_15'!A1" display="50" xr:uid="{00000000-0004-0000-0100-00001D000000}"/>
    <hyperlink ref="C99" location="'51_16'!A1" display="51" xr:uid="{00000000-0004-0000-0100-00001E000000}"/>
    <hyperlink ref="D99" location="'51_16'!A1" display="51" xr:uid="{00000000-0004-0000-0100-00001F000000}"/>
    <hyperlink ref="C114" location="'3_18'!A1" display="3" xr:uid="{00000000-0004-0000-0100-000020000000}"/>
    <hyperlink ref="D114" location="'3_18'!A1" display="3" xr:uid="{00000000-0004-0000-0100-000021000000}"/>
    <hyperlink ref="D126" location="'Photos des salles'!A1" display="Photos des salles" xr:uid="{00000000-0004-0000-0100-000022000000}"/>
    <hyperlink ref="A131" r:id="rId1" xr:uid="{46AFBB8A-4388-4C9D-91FF-00CB2EB65FAE}"/>
  </hyperlinks>
  <pageMargins left="0.25" right="0.25" top="0.75" bottom="0.75" header="0.3" footer="0.3"/>
  <pageSetup paperSize="9" scale="23" orientation="landscape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P138"/>
  <sheetViews>
    <sheetView topLeftCell="A91" zoomScale="70" zoomScaleNormal="70" workbookViewId="0">
      <selection activeCell="D137" sqref="A136:D137"/>
    </sheetView>
  </sheetViews>
  <sheetFormatPr baseColWidth="10" defaultColWidth="11.42578125" defaultRowHeight="15.75" x14ac:dyDescent="0.25"/>
  <cols>
    <col min="1" max="1" width="8" customWidth="1"/>
    <col min="2" max="2" width="8.140625" customWidth="1"/>
    <col min="3" max="4" width="11.42578125" style="19" customWidth="1"/>
    <col min="5" max="5" width="12.7109375" style="19" bestFit="1" customWidth="1"/>
    <col min="7" max="7" width="22.5703125" style="19" customWidth="1"/>
    <col min="8" max="8" width="28" style="19" customWidth="1"/>
    <col min="9" max="9" width="47.140625" style="38" customWidth="1"/>
    <col min="11" max="11" width="115.5703125" customWidth="1"/>
    <col min="16" max="16" width="19.5703125" customWidth="1"/>
  </cols>
  <sheetData>
    <row r="1" spans="3:16" ht="18" customHeight="1" x14ac:dyDescent="0.25">
      <c r="C1" s="163" t="s">
        <v>76</v>
      </c>
      <c r="D1" s="163" t="s">
        <v>77</v>
      </c>
      <c r="E1" s="15" t="s">
        <v>96</v>
      </c>
      <c r="F1" s="176" t="str">
        <f>'Semestre -1'!F1</f>
        <v>Tableau de numérotation des semaines</v>
      </c>
      <c r="G1" s="157"/>
      <c r="H1" s="158"/>
    </row>
    <row r="2" spans="3:16" ht="31.5" customHeight="1" x14ac:dyDescent="0.25">
      <c r="C2" s="164"/>
      <c r="D2" s="164"/>
      <c r="E2" s="16" t="s">
        <v>78</v>
      </c>
      <c r="F2" s="6"/>
      <c r="G2" s="16" t="s">
        <v>79</v>
      </c>
      <c r="H2" s="34" t="str">
        <f>'Semestre -1'!H2</f>
        <v>2026-27</v>
      </c>
    </row>
    <row r="3" spans="3:16" ht="27" customHeight="1" x14ac:dyDescent="0.25">
      <c r="C3" s="40"/>
      <c r="D3" s="40"/>
      <c r="E3" s="16"/>
      <c r="F3" s="6"/>
      <c r="G3" s="16"/>
      <c r="H3" s="41"/>
    </row>
    <row r="4" spans="3:16" x14ac:dyDescent="0.25">
      <c r="C4" s="177" t="s">
        <v>81</v>
      </c>
      <c r="D4" s="160"/>
      <c r="E4" s="160"/>
      <c r="F4" s="160"/>
      <c r="G4" s="160"/>
      <c r="H4" s="160"/>
    </row>
    <row r="5" spans="3:16" ht="15.6" customHeight="1" thickBot="1" x14ac:dyDescent="0.3">
      <c r="C5" s="11">
        <v>4</v>
      </c>
      <c r="D5" s="12">
        <v>18</v>
      </c>
      <c r="E5" s="17">
        <f>'Semestre -1'!G114+3</f>
        <v>46405</v>
      </c>
      <c r="F5" s="3" t="s">
        <v>83</v>
      </c>
      <c r="G5" s="17">
        <f>E5+4</f>
        <v>46409</v>
      </c>
      <c r="H5" s="21"/>
      <c r="O5" s="70"/>
      <c r="P5" s="130" t="s">
        <v>85</v>
      </c>
    </row>
    <row r="6" spans="3:16" ht="15.6" customHeight="1" x14ac:dyDescent="0.25">
      <c r="C6" s="11"/>
      <c r="D6" s="11"/>
      <c r="E6" s="17"/>
      <c r="F6" s="3"/>
      <c r="G6" s="17"/>
      <c r="H6" s="20"/>
      <c r="I6" s="148" t="s">
        <v>113</v>
      </c>
      <c r="J6" s="147"/>
      <c r="O6" s="80"/>
      <c r="P6" s="130" t="s">
        <v>100</v>
      </c>
    </row>
    <row r="7" spans="3:16" ht="15.75" customHeight="1" x14ac:dyDescent="0.25">
      <c r="C7" s="11"/>
      <c r="D7" s="11"/>
      <c r="E7" s="17"/>
      <c r="F7" s="3"/>
      <c r="G7" s="17"/>
      <c r="H7" s="20"/>
      <c r="I7" s="168"/>
      <c r="J7" s="169"/>
      <c r="O7" s="129"/>
      <c r="P7" s="130" t="s">
        <v>102</v>
      </c>
    </row>
    <row r="8" spans="3:16" ht="15.75" customHeight="1" x14ac:dyDescent="0.25">
      <c r="C8" s="11"/>
      <c r="D8" s="11"/>
      <c r="E8" s="17"/>
      <c r="F8" s="3"/>
      <c r="G8" s="17"/>
      <c r="H8" s="20"/>
      <c r="I8" s="168"/>
      <c r="J8" s="169"/>
    </row>
    <row r="9" spans="3:16" ht="16.5" customHeight="1" thickBot="1" x14ac:dyDescent="0.3">
      <c r="C9" s="11"/>
      <c r="D9" s="11"/>
      <c r="E9" s="17"/>
      <c r="F9" s="3"/>
      <c r="G9" s="17"/>
      <c r="H9" s="20"/>
      <c r="I9" s="168"/>
      <c r="J9" s="169"/>
    </row>
    <row r="10" spans="3:16" ht="16.5" customHeight="1" thickBot="1" x14ac:dyDescent="0.3">
      <c r="C10" s="11"/>
      <c r="D10" s="11"/>
      <c r="E10" s="17"/>
      <c r="F10" s="3"/>
      <c r="G10" s="17"/>
      <c r="H10" s="20"/>
      <c r="I10" s="170"/>
      <c r="J10" s="171"/>
      <c r="O10" s="146" t="s">
        <v>82</v>
      </c>
      <c r="P10" s="147"/>
    </row>
    <row r="11" spans="3:16" x14ac:dyDescent="0.25">
      <c r="C11" s="11">
        <v>5</v>
      </c>
      <c r="D11" s="12">
        <f>D5+1</f>
        <v>19</v>
      </c>
      <c r="E11" s="133">
        <f>G5+3</f>
        <v>46412</v>
      </c>
      <c r="F11" s="134" t="s">
        <v>83</v>
      </c>
      <c r="G11" s="133">
        <f>E11+4</f>
        <v>46416</v>
      </c>
      <c r="H11" s="135" t="s">
        <v>84</v>
      </c>
      <c r="I11" s="137" t="s">
        <v>114</v>
      </c>
      <c r="J11" s="80"/>
      <c r="O11" s="7"/>
      <c r="P11" s="8"/>
    </row>
    <row r="12" spans="3:16" x14ac:dyDescent="0.25">
      <c r="C12" s="11"/>
      <c r="D12" s="12"/>
      <c r="E12" s="133"/>
      <c r="F12" s="134"/>
      <c r="G12" s="133"/>
      <c r="H12" s="135"/>
      <c r="I12" s="136"/>
      <c r="J12" s="80"/>
      <c r="O12" s="42">
        <v>0.33333333333333331</v>
      </c>
      <c r="P12" s="43">
        <f>O12+0.03125</f>
        <v>0.36458333333333331</v>
      </c>
    </row>
    <row r="13" spans="3:16" ht="32.25" customHeight="1" thickBot="1" x14ac:dyDescent="0.3">
      <c r="C13" s="11">
        <v>6</v>
      </c>
      <c r="D13" s="12">
        <f>D11+1</f>
        <v>20</v>
      </c>
      <c r="E13" s="17">
        <f>G11+3</f>
        <v>46419</v>
      </c>
      <c r="F13" s="3" t="s">
        <v>83</v>
      </c>
      <c r="G13" s="17">
        <f>E13+4</f>
        <v>46423</v>
      </c>
      <c r="H13" s="20" t="s">
        <v>96</v>
      </c>
      <c r="I13" s="139" t="s">
        <v>115</v>
      </c>
      <c r="O13" s="42">
        <v>0.36805555555555558</v>
      </c>
      <c r="P13" s="43">
        <f>O13+0.03125</f>
        <v>0.39930555555555558</v>
      </c>
    </row>
    <row r="14" spans="3:16" ht="15" customHeight="1" x14ac:dyDescent="0.25">
      <c r="C14" s="11"/>
      <c r="D14" s="11"/>
      <c r="E14" s="17"/>
      <c r="F14" s="3"/>
      <c r="G14" s="17"/>
      <c r="H14" s="20"/>
      <c r="I14" s="148" t="s">
        <v>113</v>
      </c>
      <c r="J14" s="147"/>
      <c r="O14" s="42">
        <v>0.40972222222222221</v>
      </c>
      <c r="P14" s="43">
        <f>O14+0.03125</f>
        <v>0.44097222222222221</v>
      </c>
    </row>
    <row r="15" spans="3:16" ht="15" customHeight="1" x14ac:dyDescent="0.25">
      <c r="C15" s="11"/>
      <c r="D15" s="11"/>
      <c r="E15" s="17"/>
      <c r="F15" s="3"/>
      <c r="G15" s="17"/>
      <c r="H15" s="20"/>
      <c r="I15" s="168"/>
      <c r="J15" s="169"/>
      <c r="O15" s="42">
        <v>0.44444444444444442</v>
      </c>
      <c r="P15" s="43">
        <f>O15+0.03125</f>
        <v>0.47569444444444442</v>
      </c>
    </row>
    <row r="16" spans="3:16" ht="15" customHeight="1" x14ac:dyDescent="0.25">
      <c r="C16" s="11"/>
      <c r="D16" s="11"/>
      <c r="E16" s="17"/>
      <c r="F16" s="3"/>
      <c r="G16" s="17"/>
      <c r="H16" s="20"/>
      <c r="I16" s="168"/>
      <c r="J16" s="169"/>
      <c r="K16" s="138"/>
      <c r="O16" s="42">
        <v>0.47916666666666669</v>
      </c>
      <c r="P16" s="43">
        <f>O16+0.03125</f>
        <v>0.51041666666666674</v>
      </c>
    </row>
    <row r="17" spans="3:16" ht="15" customHeight="1" x14ac:dyDescent="0.25">
      <c r="C17" s="11"/>
      <c r="D17" s="11"/>
      <c r="E17" s="17"/>
      <c r="F17" s="3"/>
      <c r="G17" s="17"/>
      <c r="H17" s="20"/>
      <c r="I17" s="168"/>
      <c r="J17" s="169"/>
      <c r="O17" s="42"/>
      <c r="P17" s="43"/>
    </row>
    <row r="18" spans="3:16" ht="15.75" customHeight="1" thickBot="1" x14ac:dyDescent="0.3">
      <c r="C18" s="11"/>
      <c r="D18" s="11"/>
      <c r="E18" s="17"/>
      <c r="F18" s="3"/>
      <c r="G18" s="17"/>
      <c r="H18" s="20"/>
      <c r="I18" s="170"/>
      <c r="J18" s="171"/>
      <c r="O18" s="42">
        <v>0.51388888888888884</v>
      </c>
      <c r="P18" s="43">
        <f>O18+0.03125</f>
        <v>0.54513888888888884</v>
      </c>
    </row>
    <row r="19" spans="3:16" ht="46.5" customHeight="1" thickBot="1" x14ac:dyDescent="0.3">
      <c r="C19" s="13">
        <v>7</v>
      </c>
      <c r="D19" s="14"/>
      <c r="E19" s="63">
        <f>G13+3</f>
        <v>46426</v>
      </c>
      <c r="F19" s="64" t="s">
        <v>83</v>
      </c>
      <c r="G19" s="63">
        <f>E19+4</f>
        <v>46430</v>
      </c>
      <c r="H19" s="132" t="s">
        <v>116</v>
      </c>
      <c r="I19" s="66"/>
      <c r="J19" s="67"/>
      <c r="O19" s="42"/>
      <c r="P19" s="43"/>
    </row>
    <row r="20" spans="3:16" ht="15" customHeight="1" x14ac:dyDescent="0.25">
      <c r="C20" s="11"/>
      <c r="D20" s="11"/>
      <c r="E20" s="63"/>
      <c r="F20" s="64"/>
      <c r="G20" s="63"/>
      <c r="H20" s="63"/>
      <c r="I20" s="155" t="s">
        <v>113</v>
      </c>
      <c r="J20" s="147"/>
      <c r="O20" s="42">
        <v>0.54861111111111116</v>
      </c>
      <c r="P20" s="43">
        <f t="shared" ref="P20:P25" si="0">O20+0.03125</f>
        <v>0.57986111111111116</v>
      </c>
    </row>
    <row r="21" spans="3:16" ht="15" customHeight="1" x14ac:dyDescent="0.25">
      <c r="C21" s="11"/>
      <c r="D21" s="11"/>
      <c r="E21" s="63"/>
      <c r="F21" s="64"/>
      <c r="G21" s="63"/>
      <c r="H21" s="68"/>
      <c r="I21" s="168"/>
      <c r="J21" s="169"/>
      <c r="O21" s="42">
        <v>0.59027777777777779</v>
      </c>
      <c r="P21" s="43">
        <f t="shared" si="0"/>
        <v>0.62152777777777779</v>
      </c>
    </row>
    <row r="22" spans="3:16" ht="15" customHeight="1" x14ac:dyDescent="0.25">
      <c r="C22" s="11"/>
      <c r="D22" s="11"/>
      <c r="E22" s="63"/>
      <c r="F22" s="64"/>
      <c r="G22" s="63"/>
      <c r="H22" s="68"/>
      <c r="I22" s="168"/>
      <c r="J22" s="169"/>
      <c r="O22" s="42">
        <v>0.625</v>
      </c>
      <c r="P22" s="43">
        <f t="shared" si="0"/>
        <v>0.65625</v>
      </c>
    </row>
    <row r="23" spans="3:16" ht="15" customHeight="1" x14ac:dyDescent="0.25">
      <c r="C23" s="11"/>
      <c r="D23" s="11"/>
      <c r="E23" s="63"/>
      <c r="F23" s="64"/>
      <c r="G23" s="63"/>
      <c r="H23" s="68"/>
      <c r="I23" s="168"/>
      <c r="J23" s="169"/>
      <c r="O23" s="42">
        <v>0.65972222222222221</v>
      </c>
      <c r="P23" s="43">
        <f t="shared" si="0"/>
        <v>0.69097222222222221</v>
      </c>
    </row>
    <row r="24" spans="3:16" ht="15.75" customHeight="1" thickBot="1" x14ac:dyDescent="0.3">
      <c r="C24" s="11"/>
      <c r="D24" s="11"/>
      <c r="E24" s="63"/>
      <c r="F24" s="64"/>
      <c r="G24" s="63"/>
      <c r="H24" s="68"/>
      <c r="I24" s="170"/>
      <c r="J24" s="171"/>
      <c r="O24" s="42">
        <v>0.69444444444444442</v>
      </c>
      <c r="P24" s="43">
        <f t="shared" si="0"/>
        <v>0.72569444444444442</v>
      </c>
    </row>
    <row r="25" spans="3:16" ht="16.5" customHeight="1" thickBot="1" x14ac:dyDescent="0.3">
      <c r="C25" s="11">
        <v>8</v>
      </c>
      <c r="D25" s="12">
        <f>D13+1</f>
        <v>21</v>
      </c>
      <c r="E25" s="17">
        <f>G19+3</f>
        <v>46433</v>
      </c>
      <c r="F25" s="3" t="s">
        <v>83</v>
      </c>
      <c r="G25" s="17">
        <f>E25+4</f>
        <v>46437</v>
      </c>
      <c r="H25" s="21"/>
      <c r="O25" s="44">
        <v>0.72916666666666663</v>
      </c>
      <c r="P25" s="45">
        <f t="shared" si="0"/>
        <v>0.76041666666666663</v>
      </c>
    </row>
    <row r="26" spans="3:16" ht="15" customHeight="1" thickBot="1" x14ac:dyDescent="0.3">
      <c r="C26" s="11"/>
      <c r="D26" s="11"/>
      <c r="E26" s="17"/>
      <c r="F26" s="3"/>
      <c r="G26" s="17"/>
      <c r="H26" s="20"/>
      <c r="I26" s="148" t="s">
        <v>117</v>
      </c>
      <c r="J26" s="147"/>
      <c r="O26" s="9"/>
      <c r="P26" s="10"/>
    </row>
    <row r="27" spans="3:16" ht="15" customHeight="1" x14ac:dyDescent="0.25">
      <c r="C27" s="11"/>
      <c r="D27" s="11"/>
      <c r="E27" s="17"/>
      <c r="F27" s="3"/>
      <c r="G27" s="17"/>
      <c r="H27" s="20"/>
      <c r="I27" s="168"/>
      <c r="J27" s="169"/>
    </row>
    <row r="28" spans="3:16" ht="15" customHeight="1" x14ac:dyDescent="0.25">
      <c r="C28" s="11"/>
      <c r="D28" s="11"/>
      <c r="E28" s="17"/>
      <c r="F28" s="3"/>
      <c r="G28" s="17"/>
      <c r="H28" s="20"/>
      <c r="I28" s="168"/>
      <c r="J28" s="169"/>
    </row>
    <row r="29" spans="3:16" ht="15" customHeight="1" x14ac:dyDescent="0.25">
      <c r="C29" s="11"/>
      <c r="D29" s="11"/>
      <c r="E29" s="17"/>
      <c r="F29" s="3"/>
      <c r="G29" s="17"/>
      <c r="H29" s="20"/>
      <c r="I29" s="168"/>
      <c r="J29" s="169"/>
    </row>
    <row r="30" spans="3:16" ht="15.75" customHeight="1" thickBot="1" x14ac:dyDescent="0.3">
      <c r="C30" s="11"/>
      <c r="D30" s="11"/>
      <c r="E30" s="17"/>
      <c r="F30" s="3"/>
      <c r="G30" s="17"/>
      <c r="H30" s="20"/>
      <c r="I30" s="170"/>
      <c r="J30" s="171"/>
    </row>
    <row r="31" spans="3:16" x14ac:dyDescent="0.25">
      <c r="C31" s="11"/>
      <c r="D31" s="12"/>
      <c r="E31" s="17"/>
      <c r="F31" s="3"/>
      <c r="G31" s="17"/>
      <c r="H31" s="20"/>
    </row>
    <row r="32" spans="3:16" ht="16.5" customHeight="1" thickBot="1" x14ac:dyDescent="0.3">
      <c r="C32" s="11">
        <v>9</v>
      </c>
      <c r="D32" s="12">
        <f>D25+1</f>
        <v>22</v>
      </c>
      <c r="E32" s="17">
        <f>G25+3</f>
        <v>46440</v>
      </c>
      <c r="F32" s="3" t="s">
        <v>83</v>
      </c>
      <c r="G32" s="17">
        <f>E32+4</f>
        <v>46444</v>
      </c>
      <c r="H32" s="20" t="s">
        <v>96</v>
      </c>
    </row>
    <row r="33" spans="3:10" ht="15" customHeight="1" x14ac:dyDescent="0.25">
      <c r="C33" s="11"/>
      <c r="D33" s="11"/>
      <c r="E33" s="17"/>
      <c r="F33" s="3"/>
      <c r="G33" s="17"/>
      <c r="H33" s="20"/>
      <c r="I33" s="148" t="s">
        <v>113</v>
      </c>
      <c r="J33" s="147"/>
    </row>
    <row r="34" spans="3:10" ht="15" customHeight="1" x14ac:dyDescent="0.25">
      <c r="C34" s="11"/>
      <c r="D34" s="11"/>
      <c r="E34" s="17"/>
      <c r="F34" s="3"/>
      <c r="G34" s="17"/>
      <c r="H34" s="20"/>
      <c r="I34" s="168"/>
      <c r="J34" s="169"/>
    </row>
    <row r="35" spans="3:10" ht="15" customHeight="1" x14ac:dyDescent="0.25">
      <c r="C35" s="11"/>
      <c r="D35" s="11"/>
      <c r="E35" s="17"/>
      <c r="F35" s="3"/>
      <c r="G35" s="17"/>
      <c r="H35" s="20"/>
      <c r="I35" s="168"/>
      <c r="J35" s="169"/>
    </row>
    <row r="36" spans="3:10" ht="15" customHeight="1" x14ac:dyDescent="0.25">
      <c r="C36" s="11"/>
      <c r="D36" s="11"/>
      <c r="E36" s="17"/>
      <c r="F36" s="3"/>
      <c r="G36" s="17"/>
      <c r="H36" s="20"/>
      <c r="I36" s="168"/>
      <c r="J36" s="169"/>
    </row>
    <row r="37" spans="3:10" ht="15.75" customHeight="1" thickBot="1" x14ac:dyDescent="0.3">
      <c r="C37" s="11"/>
      <c r="D37" s="11"/>
      <c r="E37" s="17"/>
      <c r="F37" s="3"/>
      <c r="G37" s="17"/>
      <c r="H37" s="20"/>
      <c r="I37" s="170"/>
      <c r="J37" s="171"/>
    </row>
    <row r="38" spans="3:10" ht="16.5" customHeight="1" thickBot="1" x14ac:dyDescent="0.3">
      <c r="C38" s="11">
        <v>10</v>
      </c>
      <c r="D38" s="12">
        <f>D32+1</f>
        <v>23</v>
      </c>
      <c r="E38" s="17">
        <f>G32+3</f>
        <v>46447</v>
      </c>
      <c r="F38" s="3" t="s">
        <v>83</v>
      </c>
      <c r="G38" s="17">
        <f>E38+4</f>
        <v>46451</v>
      </c>
      <c r="H38" s="20" t="s">
        <v>96</v>
      </c>
    </row>
    <row r="39" spans="3:10" ht="15" customHeight="1" x14ac:dyDescent="0.25">
      <c r="C39" s="11"/>
      <c r="D39" s="11"/>
      <c r="E39" s="17"/>
      <c r="F39" s="3"/>
      <c r="G39" s="17"/>
      <c r="H39" s="20"/>
      <c r="I39" s="148" t="s">
        <v>113</v>
      </c>
      <c r="J39" s="147"/>
    </row>
    <row r="40" spans="3:10" ht="15" customHeight="1" x14ac:dyDescent="0.25">
      <c r="C40" s="11"/>
      <c r="D40" s="11"/>
      <c r="E40" s="17"/>
      <c r="F40" s="3"/>
      <c r="G40" s="17"/>
      <c r="H40" s="20"/>
      <c r="I40" s="168"/>
      <c r="J40" s="169"/>
    </row>
    <row r="41" spans="3:10" ht="15" customHeight="1" x14ac:dyDescent="0.25">
      <c r="C41" s="11"/>
      <c r="D41" s="11"/>
      <c r="E41" s="17"/>
      <c r="F41" s="3"/>
      <c r="G41" s="17"/>
      <c r="H41" s="20"/>
      <c r="I41" s="168"/>
      <c r="J41" s="169"/>
    </row>
    <row r="42" spans="3:10" ht="15" customHeight="1" x14ac:dyDescent="0.25">
      <c r="C42" s="11"/>
      <c r="D42" s="11"/>
      <c r="E42" s="17"/>
      <c r="F42" s="3"/>
      <c r="G42" s="17"/>
      <c r="H42" s="20"/>
      <c r="I42" s="168"/>
      <c r="J42" s="169"/>
    </row>
    <row r="43" spans="3:10" ht="15.75" customHeight="1" thickBot="1" x14ac:dyDescent="0.3">
      <c r="C43" s="11"/>
      <c r="D43" s="11"/>
      <c r="E43" s="17"/>
      <c r="F43" s="3"/>
      <c r="G43" s="17"/>
      <c r="H43" s="20"/>
      <c r="I43" s="170"/>
      <c r="J43" s="171"/>
    </row>
    <row r="44" spans="3:10" ht="16.5" customHeight="1" thickBot="1" x14ac:dyDescent="0.3">
      <c r="C44" s="11">
        <v>11</v>
      </c>
      <c r="D44" s="12">
        <v>25</v>
      </c>
      <c r="E44" s="17">
        <f>G38+3</f>
        <v>46454</v>
      </c>
      <c r="F44" s="3" t="s">
        <v>83</v>
      </c>
      <c r="G44" s="17">
        <f>E44+4</f>
        <v>46458</v>
      </c>
      <c r="H44" s="20" t="s">
        <v>96</v>
      </c>
    </row>
    <row r="45" spans="3:10" ht="15" customHeight="1" x14ac:dyDescent="0.25">
      <c r="C45" s="11"/>
      <c r="D45" s="11"/>
      <c r="E45" s="17"/>
      <c r="F45" s="3"/>
      <c r="G45" s="17"/>
      <c r="H45" s="20"/>
      <c r="I45" s="148" t="s">
        <v>113</v>
      </c>
      <c r="J45" s="147"/>
    </row>
    <row r="46" spans="3:10" ht="15" customHeight="1" x14ac:dyDescent="0.25">
      <c r="C46" s="11"/>
      <c r="D46" s="11"/>
      <c r="E46" s="17"/>
      <c r="F46" s="3"/>
      <c r="G46" s="17"/>
      <c r="H46" s="20"/>
      <c r="I46" s="168"/>
      <c r="J46" s="169"/>
    </row>
    <row r="47" spans="3:10" ht="15" customHeight="1" x14ac:dyDescent="0.25">
      <c r="C47" s="11"/>
      <c r="D47" s="11"/>
      <c r="E47" s="17"/>
      <c r="F47" s="3"/>
      <c r="G47" s="17"/>
      <c r="H47" s="20"/>
      <c r="I47" s="168"/>
      <c r="J47" s="169"/>
    </row>
    <row r="48" spans="3:10" ht="15" customHeight="1" x14ac:dyDescent="0.25">
      <c r="C48" s="11"/>
      <c r="D48" s="11"/>
      <c r="E48" s="17"/>
      <c r="F48" s="3"/>
      <c r="G48" s="17"/>
      <c r="H48" s="20"/>
      <c r="I48" s="168"/>
      <c r="J48" s="169"/>
    </row>
    <row r="49" spans="3:10" ht="15.75" customHeight="1" thickBot="1" x14ac:dyDescent="0.3">
      <c r="C49" s="11"/>
      <c r="D49" s="11"/>
      <c r="E49" s="17"/>
      <c r="F49" s="3"/>
      <c r="G49" s="17"/>
      <c r="H49" s="20"/>
      <c r="I49" s="170"/>
      <c r="J49" s="171"/>
    </row>
    <row r="50" spans="3:10" ht="16.5" customHeight="1" thickBot="1" x14ac:dyDescent="0.3">
      <c r="C50" s="11">
        <v>12</v>
      </c>
      <c r="D50" s="12">
        <v>26</v>
      </c>
      <c r="E50" s="17">
        <f>G44+3</f>
        <v>46461</v>
      </c>
      <c r="F50" s="3" t="s">
        <v>83</v>
      </c>
      <c r="G50" s="17">
        <f>E50+4</f>
        <v>46465</v>
      </c>
      <c r="H50" s="21" t="s">
        <v>86</v>
      </c>
    </row>
    <row r="51" spans="3:10" ht="15" customHeight="1" x14ac:dyDescent="0.25">
      <c r="C51" s="11"/>
      <c r="D51" s="11"/>
      <c r="E51" s="17"/>
      <c r="F51" s="3"/>
      <c r="G51" s="17"/>
      <c r="H51" s="20"/>
      <c r="I51" s="148" t="s">
        <v>113</v>
      </c>
      <c r="J51" s="147"/>
    </row>
    <row r="52" spans="3:10" ht="15" customHeight="1" x14ac:dyDescent="0.25">
      <c r="C52" s="11"/>
      <c r="D52" s="11"/>
      <c r="E52" s="17"/>
      <c r="F52" s="3"/>
      <c r="G52" s="17"/>
      <c r="H52" s="20"/>
      <c r="I52" s="168"/>
      <c r="J52" s="169"/>
    </row>
    <row r="53" spans="3:10" ht="15" customHeight="1" x14ac:dyDescent="0.25">
      <c r="C53" s="11"/>
      <c r="D53" s="11"/>
      <c r="E53" s="17"/>
      <c r="F53" s="3"/>
      <c r="G53" s="17"/>
      <c r="H53" s="20"/>
      <c r="I53" s="168"/>
      <c r="J53" s="169"/>
    </row>
    <row r="54" spans="3:10" ht="15" customHeight="1" x14ac:dyDescent="0.25">
      <c r="C54" s="11"/>
      <c r="D54" s="11"/>
      <c r="E54" s="17"/>
      <c r="F54" s="3"/>
      <c r="G54" s="17"/>
      <c r="H54" s="20"/>
      <c r="I54" s="168"/>
      <c r="J54" s="169"/>
    </row>
    <row r="55" spans="3:10" ht="15.75" customHeight="1" thickBot="1" x14ac:dyDescent="0.3">
      <c r="C55" s="11"/>
      <c r="D55" s="11"/>
      <c r="E55" s="17"/>
      <c r="F55" s="3"/>
      <c r="G55" s="17"/>
      <c r="H55" s="20"/>
      <c r="I55" s="170"/>
      <c r="J55" s="171"/>
    </row>
    <row r="56" spans="3:10" ht="18" customHeight="1" thickBot="1" x14ac:dyDescent="0.35">
      <c r="C56" s="11">
        <v>13</v>
      </c>
      <c r="D56" s="12">
        <v>27</v>
      </c>
      <c r="E56" s="17">
        <f>G50+3</f>
        <v>46468</v>
      </c>
      <c r="F56" s="3" t="s">
        <v>83</v>
      </c>
      <c r="G56" s="17">
        <f>E56+4</f>
        <v>46472</v>
      </c>
      <c r="H56" s="21"/>
      <c r="I56" s="62" t="s">
        <v>118</v>
      </c>
      <c r="J56" s="62"/>
    </row>
    <row r="57" spans="3:10" ht="15.75" customHeight="1" x14ac:dyDescent="0.25">
      <c r="C57" s="11"/>
      <c r="D57" s="11"/>
      <c r="E57" s="17"/>
      <c r="F57" s="3"/>
      <c r="G57" s="17"/>
      <c r="H57" s="20"/>
      <c r="I57" s="148" t="s">
        <v>119</v>
      </c>
      <c r="J57" s="147"/>
    </row>
    <row r="58" spans="3:10" x14ac:dyDescent="0.25">
      <c r="C58" s="11"/>
      <c r="D58" s="11"/>
      <c r="E58" s="17"/>
      <c r="F58" s="3"/>
      <c r="G58" s="17"/>
      <c r="H58" s="20"/>
      <c r="I58" s="168"/>
      <c r="J58" s="169"/>
    </row>
    <row r="59" spans="3:10" x14ac:dyDescent="0.25">
      <c r="C59" s="11"/>
      <c r="D59" s="11"/>
      <c r="E59" s="17"/>
      <c r="F59" s="3"/>
      <c r="G59" s="17"/>
      <c r="H59" s="20"/>
      <c r="I59" s="168"/>
      <c r="J59" s="169"/>
    </row>
    <row r="60" spans="3:10" x14ac:dyDescent="0.25">
      <c r="C60" s="11"/>
      <c r="D60" s="11"/>
      <c r="E60" s="17"/>
      <c r="F60" s="3"/>
      <c r="G60" s="17"/>
      <c r="H60" s="20"/>
      <c r="I60" s="168"/>
      <c r="J60" s="169"/>
    </row>
    <row r="61" spans="3:10" ht="16.5" customHeight="1" thickBot="1" x14ac:dyDescent="0.3">
      <c r="C61" s="11"/>
      <c r="D61" s="11"/>
      <c r="E61" s="17"/>
      <c r="F61" s="3"/>
      <c r="G61" s="17"/>
      <c r="H61" s="20"/>
      <c r="I61" s="170"/>
      <c r="J61" s="171"/>
    </row>
    <row r="62" spans="3:10" ht="30.75" customHeight="1" thickBot="1" x14ac:dyDescent="0.35">
      <c r="C62" s="13">
        <v>14</v>
      </c>
      <c r="D62" s="11" t="s">
        <v>96</v>
      </c>
      <c r="E62" s="63">
        <f>G56+3</f>
        <v>46475</v>
      </c>
      <c r="F62" s="64" t="s">
        <v>83</v>
      </c>
      <c r="G62" s="63">
        <f>E62+4</f>
        <v>46479</v>
      </c>
      <c r="H62" s="65" t="s">
        <v>120</v>
      </c>
      <c r="I62" s="62" t="s">
        <v>121</v>
      </c>
      <c r="J62" s="62"/>
    </row>
    <row r="63" spans="3:10" x14ac:dyDescent="0.25">
      <c r="C63" s="13"/>
      <c r="D63" s="11"/>
      <c r="E63" s="63"/>
      <c r="F63" s="64"/>
      <c r="G63" s="63"/>
      <c r="H63" s="68"/>
      <c r="I63" s="155" t="s">
        <v>119</v>
      </c>
      <c r="J63" s="147"/>
    </row>
    <row r="64" spans="3:10" x14ac:dyDescent="0.25">
      <c r="C64" s="13"/>
      <c r="D64" s="11"/>
      <c r="E64" s="63"/>
      <c r="F64" s="64"/>
      <c r="G64" s="63"/>
      <c r="H64" s="68"/>
      <c r="I64" s="168"/>
      <c r="J64" s="169"/>
    </row>
    <row r="65" spans="3:10" x14ac:dyDescent="0.25">
      <c r="C65" s="13"/>
      <c r="D65" s="11"/>
      <c r="E65" s="63"/>
      <c r="F65" s="64"/>
      <c r="G65" s="63"/>
      <c r="H65" s="68"/>
      <c r="I65" s="168"/>
      <c r="J65" s="169"/>
    </row>
    <row r="66" spans="3:10" x14ac:dyDescent="0.25">
      <c r="C66" s="13"/>
      <c r="D66" s="11"/>
      <c r="E66" s="63"/>
      <c r="F66" s="64"/>
      <c r="G66" s="63"/>
      <c r="H66" s="68"/>
      <c r="I66" s="168"/>
      <c r="J66" s="169"/>
    </row>
    <row r="67" spans="3:10" ht="16.5" customHeight="1" thickBot="1" x14ac:dyDescent="0.3">
      <c r="C67" s="13"/>
      <c r="D67" s="11"/>
      <c r="E67" s="63"/>
      <c r="F67" s="64"/>
      <c r="G67" s="63"/>
      <c r="H67" s="68"/>
      <c r="I67" s="170"/>
      <c r="J67" s="171"/>
    </row>
    <row r="68" spans="3:10" x14ac:dyDescent="0.25">
      <c r="C68" s="13"/>
      <c r="D68" s="11"/>
      <c r="E68" s="17"/>
      <c r="F68" s="3"/>
      <c r="G68" s="17"/>
      <c r="H68" s="20"/>
    </row>
    <row r="69" spans="3:10" ht="30.75" customHeight="1" thickBot="1" x14ac:dyDescent="0.3">
      <c r="C69" s="13">
        <v>15</v>
      </c>
      <c r="D69" s="11" t="s">
        <v>96</v>
      </c>
      <c r="E69" s="63">
        <f>G62+3</f>
        <v>46482</v>
      </c>
      <c r="F69" s="64" t="s">
        <v>83</v>
      </c>
      <c r="G69" s="63">
        <f>E69+4</f>
        <v>46486</v>
      </c>
      <c r="H69" s="65" t="s">
        <v>122</v>
      </c>
      <c r="I69" s="66"/>
      <c r="J69" s="67"/>
    </row>
    <row r="70" spans="3:10" ht="15" customHeight="1" x14ac:dyDescent="0.25">
      <c r="C70" s="11"/>
      <c r="D70" s="11"/>
      <c r="E70" s="63"/>
      <c r="F70" s="64"/>
      <c r="G70" s="63"/>
      <c r="H70" s="68"/>
      <c r="I70" s="155" t="s">
        <v>113</v>
      </c>
      <c r="J70" s="147"/>
    </row>
    <row r="71" spans="3:10" ht="15" customHeight="1" x14ac:dyDescent="0.25">
      <c r="C71" s="11"/>
      <c r="D71" s="11"/>
      <c r="E71" s="63"/>
      <c r="F71" s="64"/>
      <c r="G71" s="63"/>
      <c r="H71" s="68"/>
      <c r="I71" s="168"/>
      <c r="J71" s="169"/>
    </row>
    <row r="72" spans="3:10" ht="15" customHeight="1" x14ac:dyDescent="0.25">
      <c r="C72" s="11"/>
      <c r="D72" s="11"/>
      <c r="E72" s="63"/>
      <c r="F72" s="64"/>
      <c r="G72" s="63"/>
      <c r="H72" s="68"/>
      <c r="I72" s="168"/>
      <c r="J72" s="169"/>
    </row>
    <row r="73" spans="3:10" ht="15" customHeight="1" x14ac:dyDescent="0.25">
      <c r="C73" s="11"/>
      <c r="D73" s="11"/>
      <c r="E73" s="63"/>
      <c r="F73" s="64"/>
      <c r="G73" s="63"/>
      <c r="H73" s="68"/>
      <c r="I73" s="168"/>
      <c r="J73" s="169"/>
    </row>
    <row r="74" spans="3:10" ht="15.75" customHeight="1" thickBot="1" x14ac:dyDescent="0.3">
      <c r="C74" s="11"/>
      <c r="D74" s="11"/>
      <c r="E74" s="63"/>
      <c r="F74" s="64"/>
      <c r="G74" s="63"/>
      <c r="H74" s="68"/>
      <c r="I74" s="170"/>
      <c r="J74" s="171"/>
    </row>
    <row r="75" spans="3:10" ht="16.5" customHeight="1" thickBot="1" x14ac:dyDescent="0.3">
      <c r="C75" s="11">
        <v>16</v>
      </c>
      <c r="D75" s="12">
        <v>28</v>
      </c>
      <c r="E75" s="17">
        <f>G69+3</f>
        <v>46489</v>
      </c>
      <c r="F75" s="3" t="s">
        <v>83</v>
      </c>
      <c r="G75" s="17">
        <f>E75+4</f>
        <v>46493</v>
      </c>
    </row>
    <row r="76" spans="3:10" ht="15" customHeight="1" x14ac:dyDescent="0.25">
      <c r="C76" s="11"/>
      <c r="D76" s="11"/>
      <c r="E76" s="17"/>
      <c r="F76" s="3"/>
      <c r="G76" s="17"/>
      <c r="H76" s="20"/>
      <c r="I76" s="148" t="s">
        <v>113</v>
      </c>
      <c r="J76" s="147"/>
    </row>
    <row r="77" spans="3:10" ht="15" customHeight="1" x14ac:dyDescent="0.25">
      <c r="C77" s="11"/>
      <c r="D77" s="11"/>
      <c r="E77" s="17"/>
      <c r="F77" s="3"/>
      <c r="G77" s="17"/>
      <c r="H77" s="20"/>
      <c r="I77" s="168"/>
      <c r="J77" s="169"/>
    </row>
    <row r="78" spans="3:10" ht="15" customHeight="1" x14ac:dyDescent="0.25">
      <c r="C78" s="11"/>
      <c r="D78" s="11"/>
      <c r="E78" s="17"/>
      <c r="F78" s="3"/>
      <c r="G78" s="17"/>
      <c r="H78" s="20"/>
      <c r="I78" s="168"/>
      <c r="J78" s="169"/>
    </row>
    <row r="79" spans="3:10" ht="15" customHeight="1" x14ac:dyDescent="0.25">
      <c r="C79" s="11"/>
      <c r="D79" s="11"/>
      <c r="E79" s="17"/>
      <c r="F79" s="3"/>
      <c r="G79" s="17"/>
      <c r="H79" s="20"/>
      <c r="I79" s="168"/>
      <c r="J79" s="169"/>
    </row>
    <row r="80" spans="3:10" ht="15.75" customHeight="1" thickBot="1" x14ac:dyDescent="0.3">
      <c r="C80" s="11"/>
      <c r="D80" s="11"/>
      <c r="E80" s="17"/>
      <c r="F80" s="3"/>
      <c r="G80" s="17"/>
      <c r="H80" s="20"/>
      <c r="I80" s="170"/>
      <c r="J80" s="171"/>
    </row>
    <row r="81" spans="3:10" ht="16.5" customHeight="1" thickBot="1" x14ac:dyDescent="0.3">
      <c r="C81" s="11">
        <v>17</v>
      </c>
      <c r="D81" s="12">
        <v>29</v>
      </c>
      <c r="E81" s="56">
        <f>G75+3</f>
        <v>46496</v>
      </c>
      <c r="F81" s="57" t="s">
        <v>83</v>
      </c>
      <c r="G81" s="56">
        <f>E81+4</f>
        <v>46500</v>
      </c>
      <c r="H81" s="60"/>
      <c r="I81" s="58"/>
      <c r="J81" s="59"/>
    </row>
    <row r="82" spans="3:10" ht="14.25" customHeight="1" x14ac:dyDescent="0.25">
      <c r="C82" s="11"/>
      <c r="D82" s="11"/>
      <c r="E82" s="17"/>
      <c r="F82" s="3"/>
      <c r="G82" s="17"/>
      <c r="H82" s="20"/>
      <c r="I82" s="151" t="s">
        <v>113</v>
      </c>
      <c r="J82" s="147"/>
    </row>
    <row r="83" spans="3:10" ht="15" customHeight="1" x14ac:dyDescent="0.25">
      <c r="C83" s="11"/>
      <c r="D83" s="11"/>
      <c r="E83" s="17"/>
      <c r="F83" s="3"/>
      <c r="G83" s="17"/>
      <c r="H83" s="20"/>
      <c r="I83" s="168"/>
      <c r="J83" s="169"/>
    </row>
    <row r="84" spans="3:10" ht="15" customHeight="1" x14ac:dyDescent="0.25">
      <c r="C84" s="11"/>
      <c r="D84" s="11"/>
      <c r="E84" s="17"/>
      <c r="F84" s="3"/>
      <c r="G84" s="17"/>
      <c r="H84" s="20"/>
      <c r="I84" s="168"/>
      <c r="J84" s="169"/>
    </row>
    <row r="85" spans="3:10" ht="15" customHeight="1" x14ac:dyDescent="0.25">
      <c r="C85" s="11"/>
      <c r="D85" s="11"/>
      <c r="E85" s="17"/>
      <c r="F85" s="3"/>
      <c r="G85" s="17"/>
      <c r="H85" s="20"/>
      <c r="I85" s="168"/>
      <c r="J85" s="169"/>
    </row>
    <row r="86" spans="3:10" ht="15.75" customHeight="1" thickBot="1" x14ac:dyDescent="0.3">
      <c r="C86" s="11"/>
      <c r="D86" s="11"/>
      <c r="E86" s="17"/>
      <c r="F86" s="3"/>
      <c r="G86" s="17"/>
      <c r="H86" s="20"/>
      <c r="I86" s="170"/>
      <c r="J86" s="171"/>
    </row>
    <row r="87" spans="3:10" ht="16.5" customHeight="1" thickBot="1" x14ac:dyDescent="0.3">
      <c r="C87" s="11">
        <v>18</v>
      </c>
      <c r="D87" s="12">
        <v>30</v>
      </c>
      <c r="E87" s="17">
        <f>G81+3</f>
        <v>46503</v>
      </c>
      <c r="F87" s="3" t="s">
        <v>83</v>
      </c>
      <c r="G87" s="17">
        <f>E87+4</f>
        <v>46507</v>
      </c>
      <c r="H87" s="20"/>
    </row>
    <row r="88" spans="3:10" ht="15" customHeight="1" x14ac:dyDescent="0.25">
      <c r="C88" s="11"/>
      <c r="D88" s="11"/>
      <c r="E88" s="17"/>
      <c r="F88" s="3"/>
      <c r="G88" s="17"/>
      <c r="H88" s="20"/>
      <c r="I88" s="148" t="s">
        <v>123</v>
      </c>
      <c r="J88" s="147"/>
    </row>
    <row r="89" spans="3:10" ht="15" customHeight="1" x14ac:dyDescent="0.25">
      <c r="C89" s="11"/>
      <c r="D89" s="11"/>
      <c r="E89" s="17"/>
      <c r="F89" s="3"/>
      <c r="G89" s="17"/>
      <c r="H89" s="20"/>
      <c r="I89" s="168"/>
      <c r="J89" s="169"/>
    </row>
    <row r="90" spans="3:10" ht="15" customHeight="1" x14ac:dyDescent="0.25">
      <c r="C90" s="11"/>
      <c r="D90" s="11"/>
      <c r="E90" s="17"/>
      <c r="F90" s="3"/>
      <c r="G90" s="17"/>
      <c r="H90" s="20"/>
      <c r="I90" s="168"/>
      <c r="J90" s="169"/>
    </row>
    <row r="91" spans="3:10" ht="15" customHeight="1" x14ac:dyDescent="0.25">
      <c r="C91" s="11"/>
      <c r="D91" s="11"/>
      <c r="E91" s="17"/>
      <c r="F91" s="3"/>
      <c r="G91" s="17"/>
      <c r="H91" s="20"/>
      <c r="I91" s="168"/>
      <c r="J91" s="169"/>
    </row>
    <row r="92" spans="3:10" ht="15.75" customHeight="1" thickBot="1" x14ac:dyDescent="0.3">
      <c r="C92" s="11"/>
      <c r="D92" s="11"/>
      <c r="E92" s="17"/>
      <c r="F92" s="3"/>
      <c r="G92" s="17"/>
      <c r="H92" s="20"/>
      <c r="I92" s="170"/>
      <c r="J92" s="171"/>
    </row>
    <row r="93" spans="3:10" ht="18" customHeight="1" thickBot="1" x14ac:dyDescent="0.35">
      <c r="C93" s="11">
        <v>19</v>
      </c>
      <c r="D93" s="12">
        <v>31</v>
      </c>
      <c r="E93" s="17">
        <f>G87+3</f>
        <v>46510</v>
      </c>
      <c r="F93" s="3" t="s">
        <v>83</v>
      </c>
      <c r="G93" s="17">
        <f>E93+4</f>
        <v>46514</v>
      </c>
      <c r="H93" s="17"/>
      <c r="I93" s="62" t="s">
        <v>124</v>
      </c>
      <c r="J93" s="52"/>
    </row>
    <row r="94" spans="3:10" ht="15.75" customHeight="1" x14ac:dyDescent="0.25">
      <c r="C94" s="11"/>
      <c r="D94" s="11"/>
      <c r="E94" s="17"/>
      <c r="F94" s="3"/>
      <c r="G94" s="17"/>
      <c r="H94" s="17"/>
      <c r="I94" s="148" t="s">
        <v>125</v>
      </c>
      <c r="J94" s="147"/>
    </row>
    <row r="95" spans="3:10" x14ac:dyDescent="0.25">
      <c r="C95" s="11"/>
      <c r="D95" s="11"/>
      <c r="E95" s="17"/>
      <c r="F95" s="3"/>
      <c r="G95" s="17"/>
      <c r="H95" s="20"/>
      <c r="I95" s="168"/>
      <c r="J95" s="169"/>
    </row>
    <row r="96" spans="3:10" x14ac:dyDescent="0.25">
      <c r="C96" s="11"/>
      <c r="D96" s="11"/>
      <c r="E96" s="17"/>
      <c r="F96" s="3"/>
      <c r="G96" s="17"/>
      <c r="H96" s="20"/>
      <c r="I96" s="168"/>
      <c r="J96" s="169"/>
    </row>
    <row r="97" spans="3:10" x14ac:dyDescent="0.25">
      <c r="C97" s="11"/>
      <c r="D97" s="11"/>
      <c r="E97" s="17"/>
      <c r="F97" s="3"/>
      <c r="G97" s="17"/>
      <c r="H97" s="20"/>
      <c r="I97" s="168"/>
      <c r="J97" s="169"/>
    </row>
    <row r="98" spans="3:10" ht="16.5" customHeight="1" thickBot="1" x14ac:dyDescent="0.3">
      <c r="C98" s="11"/>
      <c r="D98" s="11"/>
      <c r="E98" s="17"/>
      <c r="F98" s="3"/>
      <c r="G98" s="17"/>
      <c r="H98" s="20"/>
      <c r="I98" s="170"/>
      <c r="J98" s="171"/>
    </row>
    <row r="99" spans="3:10" ht="16.5" customHeight="1" thickBot="1" x14ac:dyDescent="0.3">
      <c r="C99" s="11">
        <v>20</v>
      </c>
      <c r="D99" s="12">
        <v>32</v>
      </c>
      <c r="E99" s="17">
        <f>G93+3</f>
        <v>46517</v>
      </c>
      <c r="F99" s="3" t="s">
        <v>83</v>
      </c>
      <c r="G99" s="17">
        <f>E99+4</f>
        <v>46521</v>
      </c>
      <c r="H99" s="21"/>
    </row>
    <row r="100" spans="3:10" ht="15" customHeight="1" x14ac:dyDescent="0.25">
      <c r="C100" s="11"/>
      <c r="D100" s="11"/>
      <c r="E100" s="17"/>
      <c r="F100" s="3"/>
      <c r="G100" s="17"/>
      <c r="H100" s="20"/>
      <c r="I100" s="148" t="s">
        <v>113</v>
      </c>
      <c r="J100" s="147"/>
    </row>
    <row r="101" spans="3:10" ht="15" customHeight="1" x14ac:dyDescent="0.25">
      <c r="C101" s="11"/>
      <c r="D101" s="11"/>
      <c r="E101" s="17"/>
      <c r="F101" s="3"/>
      <c r="G101" s="17"/>
      <c r="H101" s="20"/>
      <c r="I101" s="168"/>
      <c r="J101" s="169"/>
    </row>
    <row r="102" spans="3:10" ht="15" customHeight="1" x14ac:dyDescent="0.25">
      <c r="C102" s="11"/>
      <c r="D102" s="11"/>
      <c r="E102" s="17"/>
      <c r="F102" s="3"/>
      <c r="G102" s="17"/>
      <c r="H102" s="20"/>
      <c r="I102" s="168"/>
      <c r="J102" s="169"/>
    </row>
    <row r="103" spans="3:10" ht="15" customHeight="1" x14ac:dyDescent="0.25">
      <c r="C103" s="11"/>
      <c r="D103" s="11"/>
      <c r="E103" s="17"/>
      <c r="F103" s="3"/>
      <c r="G103" s="17"/>
      <c r="H103" s="20"/>
      <c r="I103" s="168"/>
      <c r="J103" s="169"/>
    </row>
    <row r="104" spans="3:10" ht="15.75" customHeight="1" thickBot="1" x14ac:dyDescent="0.3">
      <c r="C104" s="11"/>
      <c r="D104" s="11"/>
      <c r="E104" s="17"/>
      <c r="F104" s="3"/>
      <c r="G104" s="17"/>
      <c r="H104" s="20"/>
      <c r="I104" s="170"/>
      <c r="J104" s="171"/>
    </row>
    <row r="105" spans="3:10" ht="18" customHeight="1" thickBot="1" x14ac:dyDescent="0.35">
      <c r="C105" s="11">
        <v>21</v>
      </c>
      <c r="D105" s="12">
        <v>33</v>
      </c>
      <c r="E105" s="17">
        <f>G99+3</f>
        <v>46524</v>
      </c>
      <c r="F105" s="3" t="s">
        <v>83</v>
      </c>
      <c r="G105" s="17">
        <f>E105+4</f>
        <v>46528</v>
      </c>
      <c r="H105" s="17"/>
      <c r="I105" s="62" t="s">
        <v>126</v>
      </c>
      <c r="J105" s="62"/>
    </row>
    <row r="106" spans="3:10" ht="15.75" customHeight="1" x14ac:dyDescent="0.25">
      <c r="C106" s="11"/>
      <c r="D106" s="11"/>
      <c r="E106" s="17"/>
      <c r="F106" s="3"/>
      <c r="G106" s="17"/>
      <c r="H106" s="17"/>
      <c r="I106" s="148" t="s">
        <v>119</v>
      </c>
      <c r="J106" s="147"/>
    </row>
    <row r="107" spans="3:10" x14ac:dyDescent="0.25">
      <c r="C107" s="11"/>
      <c r="D107" s="11"/>
      <c r="E107" s="17"/>
      <c r="F107" s="3"/>
      <c r="G107" s="17"/>
      <c r="H107" s="20"/>
      <c r="I107" s="168"/>
      <c r="J107" s="169"/>
    </row>
    <row r="108" spans="3:10" x14ac:dyDescent="0.25">
      <c r="C108" s="11"/>
      <c r="D108" s="11"/>
      <c r="E108" s="17"/>
      <c r="F108" s="3"/>
      <c r="G108" s="17"/>
      <c r="H108" s="20"/>
      <c r="I108" s="168"/>
      <c r="J108" s="169"/>
    </row>
    <row r="109" spans="3:10" x14ac:dyDescent="0.25">
      <c r="C109" s="11"/>
      <c r="D109" s="11"/>
      <c r="E109" s="17"/>
      <c r="F109" s="3"/>
      <c r="G109" s="17"/>
      <c r="H109" s="20"/>
      <c r="I109" s="168"/>
      <c r="J109" s="169"/>
    </row>
    <row r="110" spans="3:10" ht="16.5" customHeight="1" thickBot="1" x14ac:dyDescent="0.3">
      <c r="C110" s="11"/>
      <c r="D110" s="11"/>
      <c r="E110" s="17"/>
      <c r="F110" s="3"/>
      <c r="G110" s="17"/>
      <c r="H110" s="20"/>
      <c r="I110" s="170"/>
      <c r="J110" s="171"/>
    </row>
    <row r="111" spans="3:10" ht="16.5" customHeight="1" thickBot="1" x14ac:dyDescent="0.3">
      <c r="C111" s="11">
        <v>22</v>
      </c>
      <c r="D111" s="12">
        <v>34</v>
      </c>
      <c r="E111" s="17">
        <f>G105+3</f>
        <v>46531</v>
      </c>
      <c r="F111" s="3" t="s">
        <v>83</v>
      </c>
      <c r="G111" s="17">
        <f>E111+4</f>
        <v>46535</v>
      </c>
      <c r="H111" s="61"/>
    </row>
    <row r="112" spans="3:10" ht="15" customHeight="1" x14ac:dyDescent="0.25">
      <c r="C112" s="11"/>
      <c r="D112" s="11"/>
      <c r="E112" s="17"/>
      <c r="F112" s="3"/>
      <c r="G112" s="17"/>
      <c r="H112" s="20"/>
      <c r="I112" s="148" t="s">
        <v>113</v>
      </c>
      <c r="J112" s="147"/>
    </row>
    <row r="113" spans="3:11" ht="15" customHeight="1" x14ac:dyDescent="0.25">
      <c r="C113" s="11"/>
      <c r="D113" s="11"/>
      <c r="E113" s="17"/>
      <c r="F113" s="3"/>
      <c r="G113" s="17"/>
      <c r="H113" s="17"/>
      <c r="I113" s="168"/>
      <c r="J113" s="169"/>
      <c r="K113" s="80"/>
    </row>
    <row r="114" spans="3:11" ht="15" customHeight="1" x14ac:dyDescent="0.3">
      <c r="C114" s="11"/>
      <c r="D114" s="11"/>
      <c r="E114" s="17"/>
      <c r="F114" s="3"/>
      <c r="G114" s="17"/>
      <c r="H114" s="17"/>
      <c r="I114" s="168"/>
      <c r="J114" s="169"/>
      <c r="K114" s="78" t="s">
        <v>127</v>
      </c>
    </row>
    <row r="115" spans="3:11" ht="15" customHeight="1" x14ac:dyDescent="0.25">
      <c r="C115" s="11"/>
      <c r="D115" s="11"/>
      <c r="E115" s="17"/>
      <c r="F115" s="3"/>
      <c r="G115" s="17"/>
      <c r="H115" s="17"/>
      <c r="I115" s="168"/>
      <c r="J115" s="169"/>
      <c r="K115" s="79"/>
    </row>
    <row r="116" spans="3:11" ht="15.75" customHeight="1" thickBot="1" x14ac:dyDescent="0.35">
      <c r="C116" s="11"/>
      <c r="D116" s="11"/>
      <c r="E116" s="17"/>
      <c r="F116" s="3"/>
      <c r="G116" s="17"/>
      <c r="H116" s="17"/>
      <c r="I116" s="170"/>
      <c r="J116" s="171"/>
      <c r="K116" s="78" t="s">
        <v>128</v>
      </c>
    </row>
    <row r="117" spans="3:11" ht="16.5" customHeight="1" thickBot="1" x14ac:dyDescent="0.3">
      <c r="C117" s="11">
        <v>23</v>
      </c>
      <c r="D117" s="12">
        <v>35</v>
      </c>
      <c r="E117" s="17">
        <f>G111+3</f>
        <v>46538</v>
      </c>
      <c r="F117" s="3" t="s">
        <v>83</v>
      </c>
      <c r="G117" s="17">
        <f>E117+4</f>
        <v>46542</v>
      </c>
      <c r="H117" s="21"/>
      <c r="I117" s="140" t="s">
        <v>129</v>
      </c>
      <c r="J117" s="67"/>
    </row>
    <row r="118" spans="3:11" ht="15" customHeight="1" x14ac:dyDescent="0.25">
      <c r="C118" s="11"/>
      <c r="D118" s="11"/>
      <c r="E118" s="17"/>
      <c r="F118" s="3"/>
      <c r="G118" s="17"/>
      <c r="H118" s="20"/>
      <c r="I118" s="155" t="s">
        <v>130</v>
      </c>
      <c r="J118" s="147"/>
    </row>
    <row r="119" spans="3:11" ht="15" customHeight="1" x14ac:dyDescent="0.25">
      <c r="C119" s="11"/>
      <c r="D119" s="11"/>
      <c r="E119" s="17"/>
      <c r="F119" s="3"/>
      <c r="G119" s="17"/>
      <c r="H119" s="17"/>
      <c r="I119" s="168"/>
      <c r="J119" s="169"/>
    </row>
    <row r="120" spans="3:11" ht="15" customHeight="1" x14ac:dyDescent="0.25">
      <c r="C120" s="11"/>
      <c r="D120" s="11"/>
      <c r="E120" s="17"/>
      <c r="F120" s="3"/>
      <c r="G120" s="17"/>
      <c r="H120" s="17"/>
      <c r="I120" s="168"/>
      <c r="J120" s="169"/>
    </row>
    <row r="121" spans="3:11" ht="15" customHeight="1" x14ac:dyDescent="0.25">
      <c r="C121" s="11"/>
      <c r="D121" s="11"/>
      <c r="E121" s="17"/>
      <c r="F121" s="3"/>
      <c r="G121" s="17"/>
      <c r="H121" s="17"/>
      <c r="I121" s="168"/>
      <c r="J121" s="169"/>
    </row>
    <row r="122" spans="3:11" ht="15.75" customHeight="1" thickBot="1" x14ac:dyDescent="0.3">
      <c r="C122" s="11"/>
      <c r="D122" s="11"/>
      <c r="E122" s="17"/>
      <c r="F122" s="3"/>
      <c r="G122" s="17"/>
      <c r="H122" s="17"/>
      <c r="I122" s="170"/>
      <c r="J122" s="171"/>
    </row>
    <row r="123" spans="3:11" ht="16.5" customHeight="1" thickBot="1" x14ac:dyDescent="0.3">
      <c r="C123" s="11">
        <v>24</v>
      </c>
      <c r="D123" s="12">
        <v>36</v>
      </c>
      <c r="E123" s="17">
        <f>G117+3</f>
        <v>46545</v>
      </c>
      <c r="F123" s="3" t="s">
        <v>83</v>
      </c>
      <c r="G123" s="17">
        <f>E123+4</f>
        <v>46549</v>
      </c>
      <c r="H123" s="21" t="s">
        <v>87</v>
      </c>
      <c r="I123" s="174"/>
      <c r="J123" s="175"/>
    </row>
    <row r="124" spans="3:11" x14ac:dyDescent="0.25">
      <c r="C124" s="11"/>
      <c r="D124" s="12"/>
      <c r="E124" s="17"/>
      <c r="F124" s="3"/>
      <c r="G124" s="17"/>
      <c r="H124" s="21"/>
      <c r="I124" s="167" t="s">
        <v>131</v>
      </c>
      <c r="J124" s="147"/>
    </row>
    <row r="125" spans="3:11" ht="40.5" customHeight="1" x14ac:dyDescent="0.3">
      <c r="C125" s="11"/>
      <c r="D125" s="12"/>
      <c r="E125" s="17"/>
      <c r="F125" s="3"/>
      <c r="G125" s="17"/>
      <c r="H125" s="21"/>
      <c r="I125" s="168"/>
      <c r="J125" s="169"/>
      <c r="K125" s="78" t="s">
        <v>132</v>
      </c>
    </row>
    <row r="126" spans="3:11" x14ac:dyDescent="0.25">
      <c r="C126" s="11"/>
      <c r="D126" s="12"/>
      <c r="E126" s="17"/>
      <c r="F126" s="3"/>
      <c r="G126" s="17"/>
      <c r="H126" s="21"/>
      <c r="I126" s="168"/>
      <c r="J126" s="169"/>
      <c r="K126" s="79"/>
    </row>
    <row r="127" spans="3:11" ht="20.25" customHeight="1" x14ac:dyDescent="0.3">
      <c r="C127" s="11"/>
      <c r="D127" s="12"/>
      <c r="E127" s="17"/>
      <c r="F127" s="3"/>
      <c r="G127" s="17"/>
      <c r="H127" s="21"/>
      <c r="I127" s="168"/>
      <c r="J127" s="169"/>
      <c r="K127" s="78" t="s">
        <v>128</v>
      </c>
    </row>
    <row r="128" spans="3:11" ht="16.5" customHeight="1" thickBot="1" x14ac:dyDescent="0.3">
      <c r="C128" s="11"/>
      <c r="D128" s="12"/>
      <c r="E128" s="17"/>
      <c r="F128" s="3"/>
      <c r="G128" s="17"/>
      <c r="H128" s="21"/>
      <c r="I128" s="170"/>
      <c r="J128" s="171"/>
    </row>
    <row r="129" spans="1:10" x14ac:dyDescent="0.25">
      <c r="C129" s="11"/>
      <c r="D129" s="12"/>
      <c r="E129" s="17"/>
      <c r="F129" s="3"/>
      <c r="G129" s="17"/>
      <c r="H129" s="21"/>
      <c r="I129" s="50"/>
      <c r="J129" s="51"/>
    </row>
    <row r="130" spans="1:10" x14ac:dyDescent="0.25">
      <c r="C130" s="11">
        <v>25</v>
      </c>
      <c r="D130" s="12">
        <v>37</v>
      </c>
      <c r="E130" s="53">
        <f>G123+3</f>
        <v>46552</v>
      </c>
      <c r="F130" s="54" t="s">
        <v>83</v>
      </c>
      <c r="G130" s="53">
        <f>E130+4</f>
        <v>46556</v>
      </c>
      <c r="H130" s="55" t="s">
        <v>133</v>
      </c>
      <c r="I130" s="173" t="s">
        <v>134</v>
      </c>
      <c r="J130" s="166"/>
    </row>
    <row r="131" spans="1:10" x14ac:dyDescent="0.25">
      <c r="C131" s="11">
        <v>26</v>
      </c>
      <c r="D131" s="12">
        <v>38</v>
      </c>
      <c r="E131" s="17">
        <f>G130+3</f>
        <v>46559</v>
      </c>
      <c r="F131" s="3" t="s">
        <v>83</v>
      </c>
      <c r="G131" s="17">
        <f>E131+4</f>
        <v>46563</v>
      </c>
      <c r="H131" s="21" t="s">
        <v>88</v>
      </c>
      <c r="I131" s="172" t="s">
        <v>135</v>
      </c>
      <c r="J131" s="166"/>
    </row>
    <row r="132" spans="1:10" x14ac:dyDescent="0.25">
      <c r="C132" s="13">
        <v>27</v>
      </c>
      <c r="D132" s="14" t="s">
        <v>96</v>
      </c>
      <c r="E132" s="17">
        <f>G131+3</f>
        <v>46566</v>
      </c>
      <c r="F132" s="3" t="s">
        <v>83</v>
      </c>
      <c r="G132" s="17">
        <f>E132+4+44</f>
        <v>46614</v>
      </c>
      <c r="H132" s="22" t="s">
        <v>85</v>
      </c>
    </row>
    <row r="133" spans="1:10" x14ac:dyDescent="0.25">
      <c r="C133" s="18"/>
      <c r="D133" s="18"/>
      <c r="E133" s="18"/>
      <c r="F133" s="5"/>
      <c r="G133" s="18"/>
      <c r="H133" s="23"/>
    </row>
    <row r="134" spans="1:10" x14ac:dyDescent="0.25">
      <c r="C134" s="39" t="s">
        <v>92</v>
      </c>
      <c r="D134" s="18"/>
      <c r="E134" s="18"/>
      <c r="F134" s="5"/>
      <c r="G134" s="18"/>
      <c r="H134" s="23"/>
    </row>
    <row r="135" spans="1:10" x14ac:dyDescent="0.25">
      <c r="A135" s="47" t="s">
        <v>136</v>
      </c>
    </row>
    <row r="136" spans="1:10" x14ac:dyDescent="0.25">
      <c r="A136" s="141" t="s">
        <v>137</v>
      </c>
      <c r="B136" s="141"/>
      <c r="C136" s="142"/>
      <c r="D136" s="142"/>
    </row>
    <row r="137" spans="1:10" x14ac:dyDescent="0.25">
      <c r="A137" s="143" t="s">
        <v>138</v>
      </c>
      <c r="B137" s="144"/>
      <c r="C137" s="145"/>
      <c r="D137" s="145"/>
    </row>
    <row r="138" spans="1:10" x14ac:dyDescent="0.25">
      <c r="A138" s="141"/>
      <c r="B138" s="141"/>
      <c r="C138" s="142"/>
      <c r="D138" s="142"/>
    </row>
  </sheetData>
  <mergeCells count="28">
    <mergeCell ref="I51:J55"/>
    <mergeCell ref="I94:J98"/>
    <mergeCell ref="O10:P10"/>
    <mergeCell ref="I6:J10"/>
    <mergeCell ref="C1:C2"/>
    <mergeCell ref="F1:H1"/>
    <mergeCell ref="I20:J24"/>
    <mergeCell ref="D1:D2"/>
    <mergeCell ref="I14:J18"/>
    <mergeCell ref="C4:H4"/>
    <mergeCell ref="I63:J67"/>
    <mergeCell ref="I82:J86"/>
    <mergeCell ref="I124:J128"/>
    <mergeCell ref="I70:J74"/>
    <mergeCell ref="I45:J49"/>
    <mergeCell ref="I26:J30"/>
    <mergeCell ref="I131:J131"/>
    <mergeCell ref="I57:J61"/>
    <mergeCell ref="I130:J130"/>
    <mergeCell ref="I100:J104"/>
    <mergeCell ref="I76:J80"/>
    <mergeCell ref="I112:J116"/>
    <mergeCell ref="I106:J110"/>
    <mergeCell ref="I123:J123"/>
    <mergeCell ref="I118:J122"/>
    <mergeCell ref="I33:J37"/>
    <mergeCell ref="I88:J92"/>
    <mergeCell ref="I39:J43"/>
  </mergeCells>
  <hyperlinks>
    <hyperlink ref="C134" r:id="rId1" display="https://www.vd.ch/themes/formation/jours-feries-et-vacances-scolaires" xr:uid="{00000000-0004-0000-0200-000000000000}"/>
    <hyperlink ref="A137" r:id="rId2" xr:uid="{00000000-0004-0000-0200-000001000000}"/>
  </hyperlinks>
  <pageMargins left="0.7" right="0.7" top="0.75" bottom="0.75" header="0.3" footer="0.3"/>
  <pageSetup paperSize="9" orientation="portrait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B1"/>
  <sheetViews>
    <sheetView workbookViewId="0">
      <selection activeCell="A4" sqref="A4"/>
    </sheetView>
  </sheetViews>
  <sheetFormatPr baseColWidth="10" defaultRowHeight="15" x14ac:dyDescent="0.25"/>
  <cols>
    <col min="1" max="1" width="34.140625" customWidth="1"/>
    <col min="2" max="2" width="34.85546875" customWidth="1"/>
  </cols>
  <sheetData>
    <row r="1" spans="1:2" x14ac:dyDescent="0.25">
      <c r="A1" s="82" t="s">
        <v>139</v>
      </c>
      <c r="B1" s="83" t="s">
        <v>140</v>
      </c>
    </row>
  </sheetData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pageSetUpPr fitToPage="1"/>
  </sheetPr>
  <dimension ref="A1:AY647"/>
  <sheetViews>
    <sheetView topLeftCell="A7" zoomScale="55" zoomScaleNormal="55" workbookViewId="0">
      <selection activeCell="F80" sqref="F80"/>
    </sheetView>
  </sheetViews>
  <sheetFormatPr baseColWidth="10" defaultColWidth="11.5703125" defaultRowHeight="15" x14ac:dyDescent="0.2"/>
  <cols>
    <col min="1" max="2" width="11.5703125" style="46" customWidth="1"/>
    <col min="3" max="3" width="67.85546875" style="46" customWidth="1"/>
    <col min="4" max="8" width="93.85546875" style="46" customWidth="1"/>
    <col min="9" max="9" width="45.85546875" style="46" customWidth="1"/>
    <col min="10" max="10" width="93.85546875" style="46" customWidth="1"/>
    <col min="11" max="11" width="46.42578125" style="46" customWidth="1"/>
    <col min="12" max="12" width="93.85546875" style="46" customWidth="1"/>
    <col min="13" max="13" width="45.85546875" style="46" customWidth="1"/>
    <col min="14" max="14" width="93.85546875" style="46" customWidth="1"/>
    <col min="15" max="15" width="22.42578125" style="46" customWidth="1"/>
    <col min="16" max="21" width="93.85546875" style="46" customWidth="1"/>
    <col min="22" max="23" width="93.85546875" style="71" customWidth="1"/>
    <col min="24" max="51" width="93.85546875" style="46" customWidth="1"/>
    <col min="52" max="52" width="11.5703125" style="46" customWidth="1"/>
    <col min="53" max="16384" width="11.5703125" style="46"/>
  </cols>
  <sheetData>
    <row r="1" spans="1:51" x14ac:dyDescent="0.2">
      <c r="V1" s="46"/>
      <c r="W1" s="46"/>
    </row>
    <row r="2" spans="1:51" x14ac:dyDescent="0.2">
      <c r="V2" s="46"/>
      <c r="W2" s="46"/>
    </row>
    <row r="3" spans="1:51" x14ac:dyDescent="0.2">
      <c r="V3" s="46"/>
      <c r="W3" s="46"/>
    </row>
    <row r="4" spans="1:51" x14ac:dyDescent="0.2">
      <c r="V4" s="46"/>
      <c r="W4" s="46"/>
    </row>
    <row r="5" spans="1:51" x14ac:dyDescent="0.2">
      <c r="V5" s="46"/>
      <c r="W5" s="46"/>
    </row>
    <row r="6" spans="1:51" x14ac:dyDescent="0.2">
      <c r="V6" s="46"/>
      <c r="W6" s="46"/>
    </row>
    <row r="7" spans="1:51" ht="60.75" customHeight="1" x14ac:dyDescent="0.25">
      <c r="A7" s="185" t="s">
        <v>0</v>
      </c>
      <c r="B7" s="186"/>
      <c r="C7" s="112" t="s">
        <v>1</v>
      </c>
      <c r="F7" s="76" t="s">
        <v>2</v>
      </c>
      <c r="G7" s="94"/>
      <c r="H7" s="72"/>
      <c r="I7" s="72"/>
      <c r="J7" s="73"/>
    </row>
    <row r="8" spans="1:51" ht="18.75" customHeight="1" x14ac:dyDescent="0.2">
      <c r="A8" s="111"/>
      <c r="B8" s="111"/>
    </row>
    <row r="9" spans="1:51" ht="15.75" customHeight="1" x14ac:dyDescent="0.25">
      <c r="C9" s="114" t="s">
        <v>3</v>
      </c>
      <c r="D9" s="183">
        <v>1</v>
      </c>
      <c r="E9" s="184"/>
      <c r="F9" s="183">
        <v>2</v>
      </c>
      <c r="G9" s="184"/>
      <c r="H9" s="183">
        <v>3</v>
      </c>
      <c r="I9" s="184"/>
      <c r="J9" s="183">
        <v>4</v>
      </c>
      <c r="K9" s="184"/>
      <c r="L9" s="183">
        <v>5</v>
      </c>
      <c r="M9" s="184"/>
      <c r="N9" s="183">
        <v>6</v>
      </c>
      <c r="O9" s="184"/>
      <c r="P9" s="183">
        <v>7</v>
      </c>
      <c r="Q9" s="184"/>
      <c r="R9" s="183">
        <v>8</v>
      </c>
      <c r="S9" s="184"/>
      <c r="T9" s="183">
        <v>9</v>
      </c>
      <c r="U9" s="184"/>
      <c r="V9" s="183">
        <v>10</v>
      </c>
      <c r="W9" s="184"/>
      <c r="X9" s="183">
        <v>11</v>
      </c>
      <c r="Y9" s="184"/>
      <c r="Z9" s="183">
        <v>12</v>
      </c>
      <c r="AA9" s="184"/>
      <c r="AB9" s="183">
        <v>13</v>
      </c>
      <c r="AC9" s="184"/>
      <c r="AD9" s="183">
        <v>14</v>
      </c>
      <c r="AE9" s="184"/>
      <c r="AF9" s="183">
        <v>15</v>
      </c>
      <c r="AG9" s="184"/>
      <c r="AH9" s="183">
        <v>16</v>
      </c>
      <c r="AI9" s="184"/>
      <c r="AJ9" s="183">
        <v>17</v>
      </c>
      <c r="AK9" s="184"/>
      <c r="AL9" s="183">
        <v>18</v>
      </c>
      <c r="AM9" s="184"/>
      <c r="AN9" s="183">
        <v>19</v>
      </c>
      <c r="AO9" s="184"/>
      <c r="AP9" s="183">
        <v>20</v>
      </c>
      <c r="AQ9" s="184"/>
      <c r="AR9" s="183">
        <v>21</v>
      </c>
      <c r="AS9" s="184"/>
      <c r="AT9" s="183">
        <v>22</v>
      </c>
      <c r="AU9" s="184"/>
      <c r="AV9" s="183">
        <v>23</v>
      </c>
      <c r="AW9" s="184"/>
      <c r="AX9" s="188">
        <v>24</v>
      </c>
      <c r="AY9" s="189"/>
    </row>
    <row r="10" spans="1:51" s="77" customFormat="1" ht="21.75" customHeight="1" x14ac:dyDescent="0.35">
      <c r="C10" s="97" t="s">
        <v>4</v>
      </c>
      <c r="D10" s="179" t="s">
        <v>5</v>
      </c>
      <c r="E10" s="180"/>
      <c r="F10" s="179" t="s">
        <v>6</v>
      </c>
      <c r="G10" s="180"/>
      <c r="H10" s="179" t="s">
        <v>7</v>
      </c>
      <c r="I10" s="180"/>
      <c r="J10" s="179" t="s">
        <v>8</v>
      </c>
      <c r="K10" s="180"/>
      <c r="L10" s="179" t="s">
        <v>9</v>
      </c>
      <c r="M10" s="180"/>
      <c r="N10" s="179" t="s">
        <v>10</v>
      </c>
      <c r="O10" s="180"/>
      <c r="P10" s="179" t="s">
        <v>11</v>
      </c>
      <c r="Q10" s="180"/>
      <c r="R10" s="179" t="s">
        <v>12</v>
      </c>
      <c r="S10" s="180"/>
      <c r="T10" s="179" t="s">
        <v>13</v>
      </c>
      <c r="U10" s="180"/>
      <c r="V10" s="179" t="s">
        <v>13</v>
      </c>
      <c r="W10" s="180"/>
      <c r="X10" s="179" t="s">
        <v>13</v>
      </c>
      <c r="Y10" s="180"/>
      <c r="Z10" s="179" t="s">
        <v>13</v>
      </c>
      <c r="AA10" s="180"/>
      <c r="AB10" s="179" t="s">
        <v>13</v>
      </c>
      <c r="AC10" s="180"/>
      <c r="AD10" s="179" t="s">
        <v>13</v>
      </c>
      <c r="AE10" s="180"/>
      <c r="AF10" s="179" t="s">
        <v>13</v>
      </c>
      <c r="AG10" s="180"/>
      <c r="AH10" s="179" t="s">
        <v>13</v>
      </c>
      <c r="AI10" s="180"/>
      <c r="AJ10" s="179" t="s">
        <v>13</v>
      </c>
      <c r="AK10" s="180"/>
      <c r="AL10" s="179" t="s">
        <v>13</v>
      </c>
      <c r="AM10" s="180"/>
      <c r="AN10" s="179" t="s">
        <v>13</v>
      </c>
      <c r="AO10" s="180"/>
      <c r="AP10" s="179" t="s">
        <v>13</v>
      </c>
      <c r="AQ10" s="180"/>
      <c r="AR10" s="179" t="s">
        <v>13</v>
      </c>
      <c r="AS10" s="180"/>
      <c r="AT10" s="179" t="s">
        <v>13</v>
      </c>
      <c r="AU10" s="180"/>
      <c r="AV10" s="179" t="s">
        <v>13</v>
      </c>
      <c r="AW10" s="180"/>
      <c r="AX10" s="179" t="s">
        <v>13</v>
      </c>
      <c r="AY10" s="180"/>
    </row>
    <row r="11" spans="1:51" s="77" customFormat="1" ht="399.95" customHeight="1" x14ac:dyDescent="0.35">
      <c r="C11" s="98"/>
      <c r="D11" s="178"/>
      <c r="E11" s="178"/>
      <c r="F11" s="181"/>
      <c r="G11" s="182"/>
      <c r="H11" s="181"/>
      <c r="I11" s="182"/>
      <c r="J11" s="181"/>
      <c r="K11" s="182"/>
      <c r="L11" s="178"/>
      <c r="M11" s="178"/>
      <c r="N11" s="181"/>
      <c r="O11" s="182"/>
      <c r="P11" s="181"/>
      <c r="Q11" s="182"/>
      <c r="R11" s="181"/>
      <c r="S11" s="182"/>
      <c r="T11" s="178"/>
      <c r="U11" s="178"/>
      <c r="V11" s="181"/>
      <c r="W11" s="182"/>
      <c r="X11" s="181"/>
      <c r="Y11" s="182"/>
      <c r="Z11" s="181"/>
      <c r="AA11" s="182"/>
      <c r="AB11" s="178"/>
      <c r="AC11" s="178"/>
      <c r="AD11" s="181"/>
      <c r="AE11" s="182"/>
      <c r="AF11" s="181"/>
      <c r="AG11" s="182"/>
      <c r="AH11" s="181"/>
      <c r="AI11" s="182"/>
      <c r="AJ11" s="178"/>
      <c r="AK11" s="178"/>
      <c r="AL11" s="181"/>
      <c r="AM11" s="182"/>
      <c r="AN11" s="181"/>
      <c r="AO11" s="182"/>
      <c r="AP11" s="181"/>
      <c r="AQ11" s="182"/>
      <c r="AR11" s="178"/>
      <c r="AS11" s="178"/>
      <c r="AT11" s="181"/>
      <c r="AU11" s="182"/>
      <c r="AV11" s="181"/>
      <c r="AW11" s="182"/>
      <c r="AX11" s="181"/>
      <c r="AY11" s="182"/>
    </row>
    <row r="12" spans="1:51" ht="29.1" customHeight="1" thickBot="1" x14ac:dyDescent="0.25">
      <c r="C12" s="103" t="s">
        <v>14</v>
      </c>
      <c r="D12" s="119" t="s">
        <v>15</v>
      </c>
      <c r="E12" s="119" t="s">
        <v>16</v>
      </c>
      <c r="F12" s="119" t="s">
        <v>15</v>
      </c>
      <c r="G12" s="119" t="s">
        <v>16</v>
      </c>
      <c r="H12" s="119" t="s">
        <v>15</v>
      </c>
      <c r="I12" s="119" t="s">
        <v>16</v>
      </c>
      <c r="J12" s="119" t="s">
        <v>15</v>
      </c>
      <c r="K12" s="119" t="s">
        <v>16</v>
      </c>
      <c r="L12" s="119" t="s">
        <v>15</v>
      </c>
      <c r="M12" s="119" t="s">
        <v>16</v>
      </c>
      <c r="N12" s="119" t="s">
        <v>15</v>
      </c>
      <c r="O12" s="119" t="s">
        <v>16</v>
      </c>
      <c r="P12" s="119" t="s">
        <v>15</v>
      </c>
      <c r="Q12" s="119" t="s">
        <v>16</v>
      </c>
      <c r="R12" s="119" t="s">
        <v>15</v>
      </c>
      <c r="S12" s="119" t="s">
        <v>16</v>
      </c>
      <c r="T12" s="119" t="s">
        <v>15</v>
      </c>
      <c r="U12" s="119" t="s">
        <v>16</v>
      </c>
      <c r="V12" s="119" t="s">
        <v>15</v>
      </c>
      <c r="W12" s="119" t="s">
        <v>16</v>
      </c>
      <c r="X12" s="119" t="s">
        <v>15</v>
      </c>
      <c r="Y12" s="119" t="s">
        <v>16</v>
      </c>
      <c r="Z12" s="119" t="s">
        <v>15</v>
      </c>
      <c r="AA12" s="119" t="s">
        <v>16</v>
      </c>
      <c r="AB12" s="119" t="s">
        <v>15</v>
      </c>
      <c r="AC12" s="119" t="s">
        <v>16</v>
      </c>
      <c r="AD12" s="119" t="s">
        <v>15</v>
      </c>
      <c r="AE12" s="119" t="s">
        <v>16</v>
      </c>
      <c r="AF12" s="119" t="s">
        <v>15</v>
      </c>
      <c r="AG12" s="119" t="s">
        <v>16</v>
      </c>
      <c r="AH12" s="119" t="s">
        <v>15</v>
      </c>
      <c r="AI12" s="119" t="s">
        <v>16</v>
      </c>
      <c r="AJ12" s="119" t="s">
        <v>15</v>
      </c>
      <c r="AK12" s="119" t="s">
        <v>16</v>
      </c>
      <c r="AL12" s="119" t="s">
        <v>15</v>
      </c>
      <c r="AM12" s="119" t="s">
        <v>16</v>
      </c>
      <c r="AN12" s="119" t="s">
        <v>15</v>
      </c>
      <c r="AO12" s="119" t="s">
        <v>16</v>
      </c>
      <c r="AP12" s="119" t="s">
        <v>15</v>
      </c>
      <c r="AQ12" s="119" t="s">
        <v>16</v>
      </c>
      <c r="AR12" s="119" t="s">
        <v>15</v>
      </c>
      <c r="AS12" s="119" t="s">
        <v>16</v>
      </c>
      <c r="AT12" s="119" t="s">
        <v>15</v>
      </c>
      <c r="AU12" s="119" t="s">
        <v>16</v>
      </c>
      <c r="AV12" s="119" t="s">
        <v>15</v>
      </c>
      <c r="AW12" s="119" t="s">
        <v>16</v>
      </c>
      <c r="AX12" s="119" t="s">
        <v>15</v>
      </c>
      <c r="AY12" s="119" t="s">
        <v>16</v>
      </c>
    </row>
    <row r="13" spans="1:51" ht="20.25" customHeight="1" x14ac:dyDescent="0.2">
      <c r="C13" s="115" t="s">
        <v>17</v>
      </c>
      <c r="D13" s="120">
        <v>19</v>
      </c>
      <c r="E13" s="120">
        <v>19</v>
      </c>
      <c r="F13" s="120">
        <v>18</v>
      </c>
      <c r="G13" s="120">
        <v>19</v>
      </c>
      <c r="H13" s="120">
        <v>14</v>
      </c>
      <c r="I13" s="120">
        <v>17</v>
      </c>
      <c r="J13" s="120">
        <v>19</v>
      </c>
      <c r="K13" s="120">
        <v>19</v>
      </c>
      <c r="L13" s="120">
        <v>15</v>
      </c>
      <c r="M13" s="120">
        <v>18</v>
      </c>
      <c r="N13" s="120">
        <v>18</v>
      </c>
      <c r="O13" s="120">
        <v>19</v>
      </c>
      <c r="P13" s="120">
        <v>17</v>
      </c>
      <c r="Q13" s="120">
        <v>18</v>
      </c>
      <c r="R13" s="120">
        <v>16</v>
      </c>
      <c r="S13" s="120">
        <v>17</v>
      </c>
      <c r="T13" s="120">
        <v>19</v>
      </c>
      <c r="U13" s="120">
        <v>19</v>
      </c>
      <c r="V13" s="120">
        <v>19</v>
      </c>
      <c r="W13" s="120">
        <v>19</v>
      </c>
      <c r="X13" s="120">
        <v>19</v>
      </c>
      <c r="Y13" s="120">
        <v>19</v>
      </c>
      <c r="Z13" s="120">
        <v>19</v>
      </c>
      <c r="AA13" s="120">
        <v>19</v>
      </c>
      <c r="AB13" s="120">
        <v>19</v>
      </c>
      <c r="AC13" s="120">
        <v>19</v>
      </c>
      <c r="AD13" s="120">
        <v>19</v>
      </c>
      <c r="AE13" s="120">
        <v>19</v>
      </c>
      <c r="AF13" s="120">
        <v>19</v>
      </c>
      <c r="AG13" s="120">
        <v>19</v>
      </c>
      <c r="AH13" s="120">
        <v>19</v>
      </c>
      <c r="AI13" s="120">
        <v>19</v>
      </c>
      <c r="AJ13" s="120">
        <v>19</v>
      </c>
      <c r="AK13" s="120">
        <v>19</v>
      </c>
      <c r="AL13" s="120">
        <v>19</v>
      </c>
      <c r="AM13" s="120">
        <v>19</v>
      </c>
      <c r="AN13" s="120">
        <v>19</v>
      </c>
      <c r="AO13" s="120">
        <v>19</v>
      </c>
      <c r="AP13" s="120">
        <v>19</v>
      </c>
      <c r="AQ13" s="120">
        <v>19</v>
      </c>
      <c r="AR13" s="120">
        <v>19</v>
      </c>
      <c r="AS13" s="120">
        <v>19</v>
      </c>
      <c r="AT13" s="120">
        <v>19</v>
      </c>
      <c r="AU13" s="120">
        <v>19</v>
      </c>
      <c r="AV13" s="120">
        <v>19</v>
      </c>
      <c r="AW13" s="120">
        <v>19</v>
      </c>
      <c r="AX13" s="120">
        <v>19</v>
      </c>
      <c r="AY13" s="120">
        <v>19</v>
      </c>
    </row>
    <row r="14" spans="1:51" ht="20.25" customHeight="1" x14ac:dyDescent="0.2">
      <c r="C14" s="116" t="s">
        <v>18</v>
      </c>
      <c r="D14" s="120">
        <v>18</v>
      </c>
      <c r="E14" s="120">
        <v>19</v>
      </c>
      <c r="F14" s="120">
        <v>17</v>
      </c>
      <c r="G14" s="120">
        <v>18</v>
      </c>
      <c r="H14" s="120">
        <v>19</v>
      </c>
      <c r="I14" s="120">
        <v>19</v>
      </c>
      <c r="J14" s="120">
        <v>19</v>
      </c>
      <c r="K14" s="120">
        <v>19</v>
      </c>
      <c r="L14" s="120">
        <v>16</v>
      </c>
      <c r="M14" s="120">
        <v>18</v>
      </c>
      <c r="N14" s="120">
        <v>17</v>
      </c>
      <c r="O14" s="120">
        <v>18</v>
      </c>
      <c r="P14" s="120">
        <v>18</v>
      </c>
      <c r="Q14" s="120">
        <v>19</v>
      </c>
      <c r="R14" s="120">
        <v>17</v>
      </c>
      <c r="S14" s="120">
        <v>18</v>
      </c>
      <c r="T14" s="120">
        <v>19</v>
      </c>
      <c r="U14" s="120">
        <v>19</v>
      </c>
      <c r="V14" s="120">
        <v>19</v>
      </c>
      <c r="W14" s="120">
        <v>19</v>
      </c>
      <c r="X14" s="120">
        <v>19</v>
      </c>
      <c r="Y14" s="120">
        <v>19</v>
      </c>
      <c r="Z14" s="120">
        <v>19</v>
      </c>
      <c r="AA14" s="120">
        <v>19</v>
      </c>
      <c r="AB14" s="120">
        <v>19</v>
      </c>
      <c r="AC14" s="120">
        <v>19</v>
      </c>
      <c r="AD14" s="120">
        <v>19</v>
      </c>
      <c r="AE14" s="120">
        <v>19</v>
      </c>
      <c r="AF14" s="120">
        <v>19</v>
      </c>
      <c r="AG14" s="120">
        <v>19</v>
      </c>
      <c r="AH14" s="120">
        <v>19</v>
      </c>
      <c r="AI14" s="120">
        <v>19</v>
      </c>
      <c r="AJ14" s="120">
        <v>19</v>
      </c>
      <c r="AK14" s="120">
        <v>19</v>
      </c>
      <c r="AL14" s="120">
        <v>19</v>
      </c>
      <c r="AM14" s="120">
        <v>19</v>
      </c>
      <c r="AN14" s="120">
        <v>19</v>
      </c>
      <c r="AO14" s="120">
        <v>19</v>
      </c>
      <c r="AP14" s="120">
        <v>19</v>
      </c>
      <c r="AQ14" s="120">
        <v>19</v>
      </c>
      <c r="AR14" s="120">
        <v>19</v>
      </c>
      <c r="AS14" s="120">
        <v>19</v>
      </c>
      <c r="AT14" s="120">
        <v>19</v>
      </c>
      <c r="AU14" s="120">
        <v>19</v>
      </c>
      <c r="AV14" s="120">
        <v>19</v>
      </c>
      <c r="AW14" s="120">
        <v>19</v>
      </c>
      <c r="AX14" s="120">
        <v>19</v>
      </c>
      <c r="AY14" s="120">
        <v>19</v>
      </c>
    </row>
    <row r="15" spans="1:51" ht="20.25" customHeight="1" x14ac:dyDescent="0.2">
      <c r="C15" s="116" t="s">
        <v>19</v>
      </c>
      <c r="D15" s="120">
        <v>19</v>
      </c>
      <c r="E15" s="120">
        <v>19</v>
      </c>
      <c r="F15" s="120">
        <v>16</v>
      </c>
      <c r="G15" s="120">
        <v>18</v>
      </c>
      <c r="H15" s="120">
        <v>17</v>
      </c>
      <c r="I15" s="120">
        <v>18</v>
      </c>
      <c r="J15" s="120">
        <v>18</v>
      </c>
      <c r="K15" s="120">
        <v>19</v>
      </c>
      <c r="L15" s="120">
        <v>13</v>
      </c>
      <c r="M15" s="120">
        <v>17</v>
      </c>
      <c r="N15" s="120">
        <v>19</v>
      </c>
      <c r="O15" s="120">
        <v>19</v>
      </c>
      <c r="P15" s="120">
        <v>16</v>
      </c>
      <c r="Q15" s="120">
        <v>18</v>
      </c>
      <c r="R15" s="120">
        <v>18</v>
      </c>
      <c r="S15" s="120">
        <v>19</v>
      </c>
      <c r="T15" s="120">
        <v>19</v>
      </c>
      <c r="U15" s="120">
        <v>19</v>
      </c>
      <c r="V15" s="120">
        <v>19</v>
      </c>
      <c r="W15" s="120">
        <v>19</v>
      </c>
      <c r="X15" s="120">
        <v>19</v>
      </c>
      <c r="Y15" s="120">
        <v>19</v>
      </c>
      <c r="Z15" s="120">
        <v>19</v>
      </c>
      <c r="AA15" s="120">
        <v>19</v>
      </c>
      <c r="AB15" s="120">
        <v>19</v>
      </c>
      <c r="AC15" s="120">
        <v>19</v>
      </c>
      <c r="AD15" s="120">
        <v>19</v>
      </c>
      <c r="AE15" s="120">
        <v>19</v>
      </c>
      <c r="AF15" s="120">
        <v>19</v>
      </c>
      <c r="AG15" s="120">
        <v>19</v>
      </c>
      <c r="AH15" s="120">
        <v>19</v>
      </c>
      <c r="AI15" s="120">
        <v>19</v>
      </c>
      <c r="AJ15" s="120">
        <v>19</v>
      </c>
      <c r="AK15" s="120">
        <v>19</v>
      </c>
      <c r="AL15" s="120">
        <v>19</v>
      </c>
      <c r="AM15" s="120">
        <v>19</v>
      </c>
      <c r="AN15" s="120">
        <v>19</v>
      </c>
      <c r="AO15" s="120">
        <v>19</v>
      </c>
      <c r="AP15" s="120">
        <v>19</v>
      </c>
      <c r="AQ15" s="120">
        <v>19</v>
      </c>
      <c r="AR15" s="120">
        <v>19</v>
      </c>
      <c r="AS15" s="120">
        <v>19</v>
      </c>
      <c r="AT15" s="120">
        <v>19</v>
      </c>
      <c r="AU15" s="120">
        <v>19</v>
      </c>
      <c r="AV15" s="120">
        <v>19</v>
      </c>
      <c r="AW15" s="120">
        <v>19</v>
      </c>
      <c r="AX15" s="120">
        <v>19</v>
      </c>
      <c r="AY15" s="120">
        <v>19</v>
      </c>
    </row>
    <row r="16" spans="1:51" ht="20.25" customHeight="1" x14ac:dyDescent="0.2">
      <c r="C16" s="116" t="s">
        <v>20</v>
      </c>
      <c r="D16" s="120">
        <v>17</v>
      </c>
      <c r="E16" s="120">
        <v>19</v>
      </c>
      <c r="F16" s="120">
        <v>19</v>
      </c>
      <c r="G16" s="120">
        <v>19</v>
      </c>
      <c r="H16" s="120">
        <v>18</v>
      </c>
      <c r="I16" s="120">
        <v>19</v>
      </c>
      <c r="J16" s="120">
        <v>19</v>
      </c>
      <c r="K16" s="120">
        <v>19</v>
      </c>
      <c r="L16" s="120">
        <v>14</v>
      </c>
      <c r="M16" s="120">
        <v>18</v>
      </c>
      <c r="N16" s="120">
        <v>18</v>
      </c>
      <c r="O16" s="120">
        <v>19</v>
      </c>
      <c r="P16" s="120">
        <v>19</v>
      </c>
      <c r="Q16" s="120">
        <v>19</v>
      </c>
      <c r="R16" s="120">
        <v>16</v>
      </c>
      <c r="S16" s="120">
        <v>17</v>
      </c>
      <c r="T16" s="120">
        <v>19</v>
      </c>
      <c r="U16" s="120">
        <v>19</v>
      </c>
      <c r="V16" s="120">
        <v>19</v>
      </c>
      <c r="W16" s="120">
        <v>19</v>
      </c>
      <c r="X16" s="120">
        <v>19</v>
      </c>
      <c r="Y16" s="120">
        <v>19</v>
      </c>
      <c r="Z16" s="120">
        <v>19</v>
      </c>
      <c r="AA16" s="120">
        <v>19</v>
      </c>
      <c r="AB16" s="120">
        <v>19</v>
      </c>
      <c r="AC16" s="120">
        <v>19</v>
      </c>
      <c r="AD16" s="120">
        <v>19</v>
      </c>
      <c r="AE16" s="120">
        <v>19</v>
      </c>
      <c r="AF16" s="120">
        <v>19</v>
      </c>
      <c r="AG16" s="120">
        <v>19</v>
      </c>
      <c r="AH16" s="120">
        <v>19</v>
      </c>
      <c r="AI16" s="120">
        <v>19</v>
      </c>
      <c r="AJ16" s="120">
        <v>19</v>
      </c>
      <c r="AK16" s="120">
        <v>19</v>
      </c>
      <c r="AL16" s="120">
        <v>19</v>
      </c>
      <c r="AM16" s="120">
        <v>19</v>
      </c>
      <c r="AN16" s="120">
        <v>19</v>
      </c>
      <c r="AO16" s="120">
        <v>19</v>
      </c>
      <c r="AP16" s="120">
        <v>19</v>
      </c>
      <c r="AQ16" s="120">
        <v>19</v>
      </c>
      <c r="AR16" s="120">
        <v>19</v>
      </c>
      <c r="AS16" s="120">
        <v>19</v>
      </c>
      <c r="AT16" s="120">
        <v>19</v>
      </c>
      <c r="AU16" s="120">
        <v>19</v>
      </c>
      <c r="AV16" s="120">
        <v>19</v>
      </c>
      <c r="AW16" s="120">
        <v>19</v>
      </c>
      <c r="AX16" s="120">
        <v>19</v>
      </c>
      <c r="AY16" s="120">
        <v>19</v>
      </c>
    </row>
    <row r="17" spans="3:51" ht="20.25" customHeight="1" x14ac:dyDescent="0.2">
      <c r="C17" s="116" t="s">
        <v>21</v>
      </c>
      <c r="D17" s="120">
        <v>19</v>
      </c>
      <c r="E17" s="120">
        <v>19</v>
      </c>
      <c r="F17" s="120">
        <v>15</v>
      </c>
      <c r="G17" s="120">
        <v>15</v>
      </c>
      <c r="H17" s="120">
        <v>17</v>
      </c>
      <c r="I17" s="120">
        <v>18</v>
      </c>
      <c r="J17" s="120">
        <v>19</v>
      </c>
      <c r="K17" s="120">
        <v>19</v>
      </c>
      <c r="L17" s="120">
        <v>16</v>
      </c>
      <c r="M17" s="120">
        <v>18</v>
      </c>
      <c r="N17" s="120">
        <v>17</v>
      </c>
      <c r="O17" s="120">
        <v>18</v>
      </c>
      <c r="P17" s="120">
        <v>18</v>
      </c>
      <c r="Q17" s="120">
        <v>19</v>
      </c>
      <c r="R17" s="120">
        <v>17</v>
      </c>
      <c r="S17" s="120">
        <v>18</v>
      </c>
      <c r="T17" s="120">
        <v>19</v>
      </c>
      <c r="U17" s="120">
        <v>19</v>
      </c>
      <c r="V17" s="120">
        <v>19</v>
      </c>
      <c r="W17" s="120">
        <v>19</v>
      </c>
      <c r="X17" s="120">
        <v>19</v>
      </c>
      <c r="Y17" s="120">
        <v>19</v>
      </c>
      <c r="Z17" s="120">
        <v>19</v>
      </c>
      <c r="AA17" s="120">
        <v>19</v>
      </c>
      <c r="AB17" s="120">
        <v>19</v>
      </c>
      <c r="AC17" s="120">
        <v>19</v>
      </c>
      <c r="AD17" s="120">
        <v>19</v>
      </c>
      <c r="AE17" s="120">
        <v>19</v>
      </c>
      <c r="AF17" s="120">
        <v>19</v>
      </c>
      <c r="AG17" s="120">
        <v>19</v>
      </c>
      <c r="AH17" s="120">
        <v>19</v>
      </c>
      <c r="AI17" s="120">
        <v>19</v>
      </c>
      <c r="AJ17" s="120">
        <v>19</v>
      </c>
      <c r="AK17" s="120">
        <v>19</v>
      </c>
      <c r="AL17" s="120">
        <v>19</v>
      </c>
      <c r="AM17" s="120">
        <v>19</v>
      </c>
      <c r="AN17" s="120">
        <v>19</v>
      </c>
      <c r="AO17" s="120">
        <v>19</v>
      </c>
      <c r="AP17" s="120">
        <v>19</v>
      </c>
      <c r="AQ17" s="120">
        <v>19</v>
      </c>
      <c r="AR17" s="120">
        <v>19</v>
      </c>
      <c r="AS17" s="120">
        <v>19</v>
      </c>
      <c r="AT17" s="120">
        <v>19</v>
      </c>
      <c r="AU17" s="120">
        <v>19</v>
      </c>
      <c r="AV17" s="120">
        <v>19</v>
      </c>
      <c r="AW17" s="120">
        <v>19</v>
      </c>
      <c r="AX17" s="120">
        <v>19</v>
      </c>
      <c r="AY17" s="120">
        <v>19</v>
      </c>
    </row>
    <row r="18" spans="3:51" ht="20.25" customHeight="1" x14ac:dyDescent="0.2">
      <c r="C18" s="116" t="s">
        <v>22</v>
      </c>
      <c r="D18" s="120">
        <v>19</v>
      </c>
      <c r="E18" s="120">
        <v>19</v>
      </c>
      <c r="F18" s="120">
        <v>17</v>
      </c>
      <c r="G18" s="120">
        <v>18</v>
      </c>
      <c r="H18" s="120">
        <v>18</v>
      </c>
      <c r="I18" s="120">
        <v>19</v>
      </c>
      <c r="J18" s="120">
        <v>18</v>
      </c>
      <c r="K18" s="120">
        <v>19</v>
      </c>
      <c r="L18" s="120">
        <v>15</v>
      </c>
      <c r="M18" s="120">
        <v>17</v>
      </c>
      <c r="N18" s="120">
        <v>18</v>
      </c>
      <c r="O18" s="120">
        <v>19</v>
      </c>
      <c r="P18" s="120">
        <v>19</v>
      </c>
      <c r="Q18" s="120">
        <v>19</v>
      </c>
      <c r="R18" s="120">
        <v>18</v>
      </c>
      <c r="S18" s="120">
        <v>19</v>
      </c>
      <c r="T18" s="120">
        <v>19</v>
      </c>
      <c r="U18" s="120">
        <v>19</v>
      </c>
      <c r="V18" s="120">
        <v>19</v>
      </c>
      <c r="W18" s="120">
        <v>19</v>
      </c>
      <c r="X18" s="120">
        <v>19</v>
      </c>
      <c r="Y18" s="120">
        <v>19</v>
      </c>
      <c r="Z18" s="120">
        <v>19</v>
      </c>
      <c r="AA18" s="120">
        <v>19</v>
      </c>
      <c r="AB18" s="120">
        <v>19</v>
      </c>
      <c r="AC18" s="120">
        <v>19</v>
      </c>
      <c r="AD18" s="120">
        <v>19</v>
      </c>
      <c r="AE18" s="120">
        <v>19</v>
      </c>
      <c r="AF18" s="120">
        <v>19</v>
      </c>
      <c r="AG18" s="120">
        <v>19</v>
      </c>
      <c r="AH18" s="120">
        <v>19</v>
      </c>
      <c r="AI18" s="120">
        <v>19</v>
      </c>
      <c r="AJ18" s="120">
        <v>19</v>
      </c>
      <c r="AK18" s="120">
        <v>19</v>
      </c>
      <c r="AL18" s="120">
        <v>19</v>
      </c>
      <c r="AM18" s="120">
        <v>19</v>
      </c>
      <c r="AN18" s="120">
        <v>19</v>
      </c>
      <c r="AO18" s="120">
        <v>19</v>
      </c>
      <c r="AP18" s="120">
        <v>19</v>
      </c>
      <c r="AQ18" s="120">
        <v>19</v>
      </c>
      <c r="AR18" s="120">
        <v>19</v>
      </c>
      <c r="AS18" s="120">
        <v>19</v>
      </c>
      <c r="AT18" s="120">
        <v>19</v>
      </c>
      <c r="AU18" s="120">
        <v>19</v>
      </c>
      <c r="AV18" s="120">
        <v>19</v>
      </c>
      <c r="AW18" s="120">
        <v>19</v>
      </c>
      <c r="AX18" s="120">
        <v>19</v>
      </c>
      <c r="AY18" s="120">
        <v>19</v>
      </c>
    </row>
    <row r="19" spans="3:51" ht="20.25" customHeight="1" x14ac:dyDescent="0.2">
      <c r="C19" s="116" t="s">
        <v>23</v>
      </c>
      <c r="D19" s="120">
        <v>18</v>
      </c>
      <c r="E19" s="120">
        <v>19</v>
      </c>
      <c r="F19" s="120">
        <v>19</v>
      </c>
      <c r="G19" s="120">
        <v>19</v>
      </c>
      <c r="H19" s="120">
        <v>17</v>
      </c>
      <c r="I19" s="120">
        <v>18</v>
      </c>
      <c r="J19" s="120">
        <v>19</v>
      </c>
      <c r="K19" s="120">
        <v>19</v>
      </c>
      <c r="L19" s="120">
        <v>14</v>
      </c>
      <c r="M19" s="120">
        <v>18</v>
      </c>
      <c r="N19" s="120">
        <v>19</v>
      </c>
      <c r="O19" s="120">
        <v>19</v>
      </c>
      <c r="P19" s="120">
        <v>18</v>
      </c>
      <c r="Q19" s="120">
        <v>19</v>
      </c>
      <c r="R19" s="120">
        <v>17</v>
      </c>
      <c r="S19" s="120">
        <v>18</v>
      </c>
      <c r="T19" s="120">
        <v>19</v>
      </c>
      <c r="U19" s="120">
        <v>19</v>
      </c>
      <c r="V19" s="120">
        <v>19</v>
      </c>
      <c r="W19" s="120">
        <v>19</v>
      </c>
      <c r="X19" s="120">
        <v>19</v>
      </c>
      <c r="Y19" s="120">
        <v>19</v>
      </c>
      <c r="Z19" s="120">
        <v>19</v>
      </c>
      <c r="AA19" s="120">
        <v>19</v>
      </c>
      <c r="AB19" s="120">
        <v>19</v>
      </c>
      <c r="AC19" s="120">
        <v>19</v>
      </c>
      <c r="AD19" s="120">
        <v>19</v>
      </c>
      <c r="AE19" s="120">
        <v>19</v>
      </c>
      <c r="AF19" s="120">
        <v>19</v>
      </c>
      <c r="AG19" s="120">
        <v>19</v>
      </c>
      <c r="AH19" s="120">
        <v>19</v>
      </c>
      <c r="AI19" s="120">
        <v>19</v>
      </c>
      <c r="AJ19" s="120">
        <v>19</v>
      </c>
      <c r="AK19" s="120">
        <v>19</v>
      </c>
      <c r="AL19" s="120">
        <v>19</v>
      </c>
      <c r="AM19" s="120">
        <v>19</v>
      </c>
      <c r="AN19" s="120">
        <v>19</v>
      </c>
      <c r="AO19" s="120">
        <v>19</v>
      </c>
      <c r="AP19" s="120">
        <v>19</v>
      </c>
      <c r="AQ19" s="120">
        <v>19</v>
      </c>
      <c r="AR19" s="120">
        <v>19</v>
      </c>
      <c r="AS19" s="120">
        <v>19</v>
      </c>
      <c r="AT19" s="120">
        <v>19</v>
      </c>
      <c r="AU19" s="120">
        <v>19</v>
      </c>
      <c r="AV19" s="120">
        <v>19</v>
      </c>
      <c r="AW19" s="120">
        <v>19</v>
      </c>
      <c r="AX19" s="120">
        <v>19</v>
      </c>
      <c r="AY19" s="120">
        <v>19</v>
      </c>
    </row>
    <row r="20" spans="3:51" ht="20.25" customHeight="1" x14ac:dyDescent="0.2">
      <c r="C20" s="116" t="s">
        <v>24</v>
      </c>
      <c r="D20" s="120">
        <v>19</v>
      </c>
      <c r="E20" s="120">
        <v>19</v>
      </c>
      <c r="F20" s="120">
        <v>18</v>
      </c>
      <c r="G20" s="120">
        <v>19</v>
      </c>
      <c r="H20" s="120">
        <v>16</v>
      </c>
      <c r="I20" s="120">
        <v>18</v>
      </c>
      <c r="J20" s="120">
        <v>19</v>
      </c>
      <c r="K20" s="120">
        <v>19</v>
      </c>
      <c r="L20" s="120">
        <v>16</v>
      </c>
      <c r="M20" s="120">
        <v>17</v>
      </c>
      <c r="N20" s="120">
        <v>17</v>
      </c>
      <c r="O20" s="120">
        <v>18</v>
      </c>
      <c r="P20" s="120">
        <v>19</v>
      </c>
      <c r="Q20" s="120">
        <v>19</v>
      </c>
      <c r="R20" s="120">
        <v>16</v>
      </c>
      <c r="S20" s="120">
        <v>17</v>
      </c>
      <c r="T20" s="120">
        <v>19</v>
      </c>
      <c r="U20" s="120">
        <v>19</v>
      </c>
      <c r="V20" s="120">
        <v>19</v>
      </c>
      <c r="W20" s="120">
        <v>19</v>
      </c>
      <c r="X20" s="120">
        <v>19</v>
      </c>
      <c r="Y20" s="120">
        <v>19</v>
      </c>
      <c r="Z20" s="120">
        <v>19</v>
      </c>
      <c r="AA20" s="120">
        <v>19</v>
      </c>
      <c r="AB20" s="120">
        <v>19</v>
      </c>
      <c r="AC20" s="120">
        <v>19</v>
      </c>
      <c r="AD20" s="120">
        <v>19</v>
      </c>
      <c r="AE20" s="120">
        <v>19</v>
      </c>
      <c r="AF20" s="120">
        <v>19</v>
      </c>
      <c r="AG20" s="120">
        <v>19</v>
      </c>
      <c r="AH20" s="120">
        <v>19</v>
      </c>
      <c r="AI20" s="120">
        <v>19</v>
      </c>
      <c r="AJ20" s="120">
        <v>19</v>
      </c>
      <c r="AK20" s="120">
        <v>19</v>
      </c>
      <c r="AL20" s="120">
        <v>19</v>
      </c>
      <c r="AM20" s="120">
        <v>19</v>
      </c>
      <c r="AN20" s="120">
        <v>19</v>
      </c>
      <c r="AO20" s="120">
        <v>19</v>
      </c>
      <c r="AP20" s="120">
        <v>19</v>
      </c>
      <c r="AQ20" s="120">
        <v>19</v>
      </c>
      <c r="AR20" s="120">
        <v>19</v>
      </c>
      <c r="AS20" s="120">
        <v>19</v>
      </c>
      <c r="AT20" s="120">
        <v>19</v>
      </c>
      <c r="AU20" s="120">
        <v>19</v>
      </c>
      <c r="AV20" s="120">
        <v>19</v>
      </c>
      <c r="AW20" s="120">
        <v>19</v>
      </c>
      <c r="AX20" s="120">
        <v>19</v>
      </c>
      <c r="AY20" s="120">
        <v>19</v>
      </c>
    </row>
    <row r="21" spans="3:51" ht="20.25" customHeight="1" x14ac:dyDescent="0.2">
      <c r="C21" s="116" t="s">
        <v>25</v>
      </c>
      <c r="D21" s="120">
        <v>17</v>
      </c>
      <c r="E21" s="120">
        <v>18</v>
      </c>
      <c r="F21" s="120">
        <v>16</v>
      </c>
      <c r="G21" s="120">
        <v>17</v>
      </c>
      <c r="H21" s="120">
        <v>19</v>
      </c>
      <c r="I21" s="120">
        <v>19</v>
      </c>
      <c r="J21" s="120">
        <v>18</v>
      </c>
      <c r="K21" s="120">
        <v>19</v>
      </c>
      <c r="L21" s="120">
        <v>13</v>
      </c>
      <c r="M21" s="120">
        <v>17</v>
      </c>
      <c r="N21" s="120">
        <v>19</v>
      </c>
      <c r="O21" s="120">
        <v>19</v>
      </c>
      <c r="P21" s="120">
        <v>17</v>
      </c>
      <c r="Q21" s="120">
        <v>18</v>
      </c>
      <c r="R21" s="120">
        <v>18</v>
      </c>
      <c r="S21" s="120">
        <v>19</v>
      </c>
      <c r="T21" s="120">
        <v>19</v>
      </c>
      <c r="U21" s="120">
        <v>19</v>
      </c>
      <c r="V21" s="120">
        <v>19</v>
      </c>
      <c r="W21" s="120">
        <v>19</v>
      </c>
      <c r="X21" s="120">
        <v>19</v>
      </c>
      <c r="Y21" s="120">
        <v>19</v>
      </c>
      <c r="Z21" s="120">
        <v>19</v>
      </c>
      <c r="AA21" s="120">
        <v>19</v>
      </c>
      <c r="AB21" s="120">
        <v>19</v>
      </c>
      <c r="AC21" s="120">
        <v>19</v>
      </c>
      <c r="AD21" s="120">
        <v>19</v>
      </c>
      <c r="AE21" s="120">
        <v>19</v>
      </c>
      <c r="AF21" s="120">
        <v>19</v>
      </c>
      <c r="AG21" s="120">
        <v>19</v>
      </c>
      <c r="AH21" s="120">
        <v>19</v>
      </c>
      <c r="AI21" s="120">
        <v>19</v>
      </c>
      <c r="AJ21" s="120">
        <v>19</v>
      </c>
      <c r="AK21" s="120">
        <v>19</v>
      </c>
      <c r="AL21" s="120">
        <v>19</v>
      </c>
      <c r="AM21" s="120">
        <v>19</v>
      </c>
      <c r="AN21" s="120">
        <v>19</v>
      </c>
      <c r="AO21" s="120">
        <v>19</v>
      </c>
      <c r="AP21" s="120">
        <v>19</v>
      </c>
      <c r="AQ21" s="120">
        <v>19</v>
      </c>
      <c r="AR21" s="120">
        <v>19</v>
      </c>
      <c r="AS21" s="120">
        <v>19</v>
      </c>
      <c r="AT21" s="120">
        <v>19</v>
      </c>
      <c r="AU21" s="120">
        <v>19</v>
      </c>
      <c r="AV21" s="120">
        <v>19</v>
      </c>
      <c r="AW21" s="120">
        <v>19</v>
      </c>
      <c r="AX21" s="120">
        <v>19</v>
      </c>
      <c r="AY21" s="120">
        <v>19</v>
      </c>
    </row>
    <row r="22" spans="3:51" ht="20.25" customHeight="1" x14ac:dyDescent="0.2">
      <c r="C22" s="116" t="s">
        <v>26</v>
      </c>
      <c r="D22" s="120">
        <v>19</v>
      </c>
      <c r="E22" s="120">
        <v>19</v>
      </c>
      <c r="F22" s="120">
        <v>15</v>
      </c>
      <c r="G22" s="120">
        <v>17</v>
      </c>
      <c r="H22" s="120">
        <v>17</v>
      </c>
      <c r="I22" s="120">
        <v>18</v>
      </c>
      <c r="J22" s="120">
        <v>19</v>
      </c>
      <c r="K22" s="120">
        <v>19</v>
      </c>
      <c r="L22" s="120">
        <v>15</v>
      </c>
      <c r="M22" s="120">
        <v>18</v>
      </c>
      <c r="N22" s="120">
        <v>18</v>
      </c>
      <c r="O22" s="120">
        <v>19</v>
      </c>
      <c r="P22" s="120">
        <v>18</v>
      </c>
      <c r="Q22" s="120">
        <v>19</v>
      </c>
      <c r="R22" s="120">
        <v>17</v>
      </c>
      <c r="S22" s="120">
        <v>18</v>
      </c>
      <c r="T22" s="120">
        <v>19</v>
      </c>
      <c r="U22" s="120">
        <v>19</v>
      </c>
      <c r="V22" s="120">
        <v>19</v>
      </c>
      <c r="W22" s="120">
        <v>19</v>
      </c>
      <c r="X22" s="120">
        <v>19</v>
      </c>
      <c r="Y22" s="120">
        <v>19</v>
      </c>
      <c r="Z22" s="120">
        <v>19</v>
      </c>
      <c r="AA22" s="120">
        <v>19</v>
      </c>
      <c r="AB22" s="120">
        <v>19</v>
      </c>
      <c r="AC22" s="120">
        <v>19</v>
      </c>
      <c r="AD22" s="120">
        <v>19</v>
      </c>
      <c r="AE22" s="120">
        <v>19</v>
      </c>
      <c r="AF22" s="120">
        <v>19</v>
      </c>
      <c r="AG22" s="120">
        <v>19</v>
      </c>
      <c r="AH22" s="120">
        <v>19</v>
      </c>
      <c r="AI22" s="120">
        <v>19</v>
      </c>
      <c r="AJ22" s="120">
        <v>19</v>
      </c>
      <c r="AK22" s="120">
        <v>19</v>
      </c>
      <c r="AL22" s="120">
        <v>19</v>
      </c>
      <c r="AM22" s="120">
        <v>19</v>
      </c>
      <c r="AN22" s="120">
        <v>19</v>
      </c>
      <c r="AO22" s="120">
        <v>19</v>
      </c>
      <c r="AP22" s="120">
        <v>19</v>
      </c>
      <c r="AQ22" s="120">
        <v>19</v>
      </c>
      <c r="AR22" s="120">
        <v>19</v>
      </c>
      <c r="AS22" s="120">
        <v>19</v>
      </c>
      <c r="AT22" s="120">
        <v>19</v>
      </c>
      <c r="AU22" s="120">
        <v>19</v>
      </c>
      <c r="AV22" s="120">
        <v>19</v>
      </c>
      <c r="AW22" s="120">
        <v>19</v>
      </c>
      <c r="AX22" s="120">
        <v>19</v>
      </c>
      <c r="AY22" s="120">
        <v>19</v>
      </c>
    </row>
    <row r="23" spans="3:51" ht="20.25" customHeight="1" x14ac:dyDescent="0.2">
      <c r="C23" s="116" t="s">
        <v>27</v>
      </c>
      <c r="D23" s="120">
        <v>18</v>
      </c>
      <c r="E23" s="120">
        <v>19</v>
      </c>
      <c r="F23" s="120">
        <v>17</v>
      </c>
      <c r="G23" s="120">
        <v>18</v>
      </c>
      <c r="H23" s="120">
        <v>16</v>
      </c>
      <c r="I23" s="120">
        <v>17</v>
      </c>
      <c r="J23" s="120">
        <v>19</v>
      </c>
      <c r="K23" s="120">
        <v>19</v>
      </c>
      <c r="L23" s="120">
        <v>14</v>
      </c>
      <c r="M23" s="120">
        <v>17</v>
      </c>
      <c r="N23" s="120">
        <v>19</v>
      </c>
      <c r="O23" s="120">
        <v>19</v>
      </c>
      <c r="P23" s="120">
        <v>19</v>
      </c>
      <c r="Q23" s="120">
        <v>19</v>
      </c>
      <c r="R23" s="120">
        <v>19</v>
      </c>
      <c r="S23" s="120">
        <v>19</v>
      </c>
      <c r="T23" s="120">
        <v>19</v>
      </c>
      <c r="U23" s="120">
        <v>19</v>
      </c>
      <c r="V23" s="120">
        <v>19</v>
      </c>
      <c r="W23" s="120">
        <v>19</v>
      </c>
      <c r="X23" s="120">
        <v>19</v>
      </c>
      <c r="Y23" s="120">
        <v>19</v>
      </c>
      <c r="Z23" s="120">
        <v>19</v>
      </c>
      <c r="AA23" s="120">
        <v>19</v>
      </c>
      <c r="AB23" s="120">
        <v>19</v>
      </c>
      <c r="AC23" s="120">
        <v>19</v>
      </c>
      <c r="AD23" s="120">
        <v>19</v>
      </c>
      <c r="AE23" s="120">
        <v>19</v>
      </c>
      <c r="AF23" s="120">
        <v>19</v>
      </c>
      <c r="AG23" s="120">
        <v>19</v>
      </c>
      <c r="AH23" s="120">
        <v>19</v>
      </c>
      <c r="AI23" s="120">
        <v>19</v>
      </c>
      <c r="AJ23" s="120">
        <v>19</v>
      </c>
      <c r="AK23" s="120">
        <v>19</v>
      </c>
      <c r="AL23" s="120">
        <v>19</v>
      </c>
      <c r="AM23" s="120">
        <v>19</v>
      </c>
      <c r="AN23" s="120">
        <v>19</v>
      </c>
      <c r="AO23" s="120">
        <v>19</v>
      </c>
      <c r="AP23" s="120">
        <v>19</v>
      </c>
      <c r="AQ23" s="120">
        <v>19</v>
      </c>
      <c r="AR23" s="120">
        <v>19</v>
      </c>
      <c r="AS23" s="120">
        <v>19</v>
      </c>
      <c r="AT23" s="120">
        <v>19</v>
      </c>
      <c r="AU23" s="120">
        <v>19</v>
      </c>
      <c r="AV23" s="120">
        <v>19</v>
      </c>
      <c r="AW23" s="120">
        <v>19</v>
      </c>
      <c r="AX23" s="120">
        <v>19</v>
      </c>
      <c r="AY23" s="120">
        <v>19</v>
      </c>
    </row>
    <row r="24" spans="3:51" ht="21" customHeight="1" thickBot="1" x14ac:dyDescent="0.25">
      <c r="C24" s="117" t="s">
        <v>28</v>
      </c>
      <c r="D24" s="120">
        <v>19</v>
      </c>
      <c r="E24" s="120">
        <v>19</v>
      </c>
      <c r="F24" s="120">
        <v>18</v>
      </c>
      <c r="G24" s="120">
        <v>19</v>
      </c>
      <c r="H24" s="120">
        <v>17</v>
      </c>
      <c r="I24" s="120">
        <v>18</v>
      </c>
      <c r="J24" s="120">
        <v>18</v>
      </c>
      <c r="K24" s="120">
        <v>19</v>
      </c>
      <c r="L24" s="120">
        <v>15</v>
      </c>
      <c r="M24" s="120">
        <v>18</v>
      </c>
      <c r="N24" s="120">
        <v>17</v>
      </c>
      <c r="O24" s="120">
        <v>18</v>
      </c>
      <c r="P24" s="120">
        <v>18</v>
      </c>
      <c r="Q24" s="120">
        <v>19</v>
      </c>
      <c r="R24" s="120">
        <v>18</v>
      </c>
      <c r="S24" s="120">
        <v>19</v>
      </c>
      <c r="T24" s="120">
        <v>19</v>
      </c>
      <c r="U24" s="120">
        <v>19</v>
      </c>
      <c r="V24" s="120">
        <v>19</v>
      </c>
      <c r="W24" s="120">
        <v>19</v>
      </c>
      <c r="X24" s="120">
        <v>19</v>
      </c>
      <c r="Y24" s="120">
        <v>19</v>
      </c>
      <c r="Z24" s="120">
        <v>19</v>
      </c>
      <c r="AA24" s="120">
        <v>19</v>
      </c>
      <c r="AB24" s="120">
        <v>19</v>
      </c>
      <c r="AC24" s="120">
        <v>19</v>
      </c>
      <c r="AD24" s="120">
        <v>19</v>
      </c>
      <c r="AE24" s="120">
        <v>19</v>
      </c>
      <c r="AF24" s="120">
        <v>19</v>
      </c>
      <c r="AG24" s="120">
        <v>19</v>
      </c>
      <c r="AH24" s="120">
        <v>19</v>
      </c>
      <c r="AI24" s="120">
        <v>19</v>
      </c>
      <c r="AJ24" s="120">
        <v>19</v>
      </c>
      <c r="AK24" s="120">
        <v>19</v>
      </c>
      <c r="AL24" s="120">
        <v>19</v>
      </c>
      <c r="AM24" s="120">
        <v>19</v>
      </c>
      <c r="AN24" s="120">
        <v>19</v>
      </c>
      <c r="AO24" s="120">
        <v>19</v>
      </c>
      <c r="AP24" s="120">
        <v>19</v>
      </c>
      <c r="AQ24" s="120">
        <v>19</v>
      </c>
      <c r="AR24" s="120">
        <v>19</v>
      </c>
      <c r="AS24" s="120">
        <v>19</v>
      </c>
      <c r="AT24" s="120">
        <v>19</v>
      </c>
      <c r="AU24" s="120">
        <v>19</v>
      </c>
      <c r="AV24" s="120">
        <v>19</v>
      </c>
      <c r="AW24" s="120">
        <v>19</v>
      </c>
      <c r="AX24" s="120">
        <v>19</v>
      </c>
      <c r="AY24" s="120">
        <v>19</v>
      </c>
    </row>
    <row r="25" spans="3:51" ht="20.25" customHeight="1" x14ac:dyDescent="0.2">
      <c r="C25" s="118" t="s">
        <v>29</v>
      </c>
      <c r="D25" s="120">
        <v>19</v>
      </c>
      <c r="E25" s="120">
        <v>19</v>
      </c>
      <c r="F25" s="120">
        <v>19</v>
      </c>
      <c r="G25" s="120">
        <v>19</v>
      </c>
      <c r="H25" s="120">
        <v>19</v>
      </c>
      <c r="I25" s="120">
        <v>19</v>
      </c>
      <c r="J25" s="120">
        <v>19</v>
      </c>
      <c r="K25" s="120">
        <v>19</v>
      </c>
      <c r="L25" s="120">
        <v>19</v>
      </c>
      <c r="M25" s="120">
        <v>19</v>
      </c>
      <c r="N25" s="120">
        <v>19</v>
      </c>
      <c r="O25" s="120">
        <v>19</v>
      </c>
      <c r="P25" s="120">
        <v>19</v>
      </c>
      <c r="Q25" s="120">
        <v>19</v>
      </c>
      <c r="R25" s="120">
        <v>19</v>
      </c>
      <c r="S25" s="120">
        <v>19</v>
      </c>
      <c r="T25" s="120">
        <v>19</v>
      </c>
      <c r="U25" s="120">
        <v>19</v>
      </c>
      <c r="V25" s="120">
        <v>19</v>
      </c>
      <c r="W25" s="120">
        <v>19</v>
      </c>
      <c r="X25" s="120">
        <v>19</v>
      </c>
      <c r="Y25" s="120">
        <v>19</v>
      </c>
      <c r="Z25" s="120">
        <v>19</v>
      </c>
      <c r="AA25" s="120">
        <v>19</v>
      </c>
      <c r="AB25" s="120">
        <v>19</v>
      </c>
      <c r="AC25" s="120">
        <v>19</v>
      </c>
      <c r="AD25" s="120">
        <v>19</v>
      </c>
      <c r="AE25" s="120">
        <v>19</v>
      </c>
      <c r="AF25" s="120">
        <v>19</v>
      </c>
      <c r="AG25" s="120">
        <v>19</v>
      </c>
      <c r="AH25" s="120">
        <v>19</v>
      </c>
      <c r="AI25" s="120">
        <v>19</v>
      </c>
      <c r="AJ25" s="120">
        <v>19</v>
      </c>
      <c r="AK25" s="120">
        <v>19</v>
      </c>
      <c r="AL25" s="120">
        <v>19</v>
      </c>
      <c r="AM25" s="120">
        <v>19</v>
      </c>
      <c r="AN25" s="120">
        <v>19</v>
      </c>
      <c r="AO25" s="120">
        <v>19</v>
      </c>
      <c r="AP25" s="120">
        <v>19</v>
      </c>
      <c r="AQ25" s="120">
        <v>19</v>
      </c>
      <c r="AR25" s="120">
        <v>19</v>
      </c>
      <c r="AS25" s="120">
        <v>19</v>
      </c>
      <c r="AT25" s="120">
        <v>19</v>
      </c>
      <c r="AU25" s="120">
        <v>19</v>
      </c>
      <c r="AV25" s="120">
        <v>19</v>
      </c>
      <c r="AW25" s="120">
        <v>19</v>
      </c>
      <c r="AX25" s="120">
        <v>19</v>
      </c>
      <c r="AY25" s="120">
        <v>19</v>
      </c>
    </row>
    <row r="26" spans="3:51" ht="20.25" customHeight="1" x14ac:dyDescent="0.25">
      <c r="C26" s="96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  <c r="AC26" s="95"/>
      <c r="AD26" s="95"/>
      <c r="AE26" s="95"/>
      <c r="AF26" s="95"/>
      <c r="AG26" s="95"/>
      <c r="AH26" s="95"/>
      <c r="AI26" s="95"/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5"/>
      <c r="AX26" s="95"/>
      <c r="AY26" s="95"/>
    </row>
    <row r="27" spans="3:51" ht="56.45" customHeight="1" x14ac:dyDescent="0.25">
      <c r="C27" s="75" t="s">
        <v>30</v>
      </c>
      <c r="D27" s="74" t="s">
        <v>31</v>
      </c>
      <c r="E27" s="74"/>
      <c r="F27" s="74" t="s">
        <v>32</v>
      </c>
      <c r="G27" s="74"/>
      <c r="H27" s="74" t="s">
        <v>33</v>
      </c>
      <c r="I27" s="74"/>
      <c r="J27" s="74" t="s">
        <v>34</v>
      </c>
      <c r="K27" s="74"/>
      <c r="L27" s="74" t="s">
        <v>35</v>
      </c>
      <c r="M27" s="74"/>
      <c r="N27" s="74" t="s">
        <v>36</v>
      </c>
      <c r="O27" s="74"/>
      <c r="P27" s="74" t="s">
        <v>37</v>
      </c>
      <c r="Q27" s="74"/>
      <c r="R27" s="74" t="s">
        <v>38</v>
      </c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</row>
    <row r="28" spans="3:51" ht="20.25" customHeight="1" x14ac:dyDescent="0.3">
      <c r="C28" s="121" t="s">
        <v>39</v>
      </c>
      <c r="H28" s="122"/>
      <c r="V28" s="46"/>
      <c r="W28" s="46"/>
    </row>
    <row r="29" spans="3:51" ht="15.75" customHeight="1" x14ac:dyDescent="0.25">
      <c r="C29" s="109" t="s">
        <v>40</v>
      </c>
      <c r="D29" s="109" t="s">
        <v>41</v>
      </c>
      <c r="E29" s="109" t="s">
        <v>42</v>
      </c>
      <c r="F29" s="109" t="s">
        <v>43</v>
      </c>
      <c r="G29" s="110" t="s">
        <v>30</v>
      </c>
      <c r="H29" s="122"/>
      <c r="I29" s="109" t="s">
        <v>40</v>
      </c>
      <c r="J29" s="109" t="s">
        <v>41</v>
      </c>
      <c r="K29" s="109" t="s">
        <v>42</v>
      </c>
      <c r="L29" s="109" t="s">
        <v>43</v>
      </c>
      <c r="M29" s="110" t="s">
        <v>30</v>
      </c>
      <c r="V29" s="46"/>
      <c r="W29" s="46"/>
    </row>
    <row r="30" spans="3:51" x14ac:dyDescent="0.2">
      <c r="C30" s="125">
        <v>46183.077619282412</v>
      </c>
      <c r="D30" s="126" t="s">
        <v>5</v>
      </c>
      <c r="E30" s="126" t="s">
        <v>17</v>
      </c>
      <c r="F30" s="126" t="s">
        <v>44</v>
      </c>
      <c r="G30" s="126" t="s">
        <v>45</v>
      </c>
      <c r="H30" s="127"/>
      <c r="I30" s="125"/>
      <c r="J30" s="126"/>
      <c r="K30" s="126"/>
      <c r="L30" s="126"/>
      <c r="M30" s="126"/>
      <c r="V30" s="46"/>
      <c r="W30" s="46"/>
    </row>
    <row r="31" spans="3:51" x14ac:dyDescent="0.2">
      <c r="C31" s="125">
        <v>46188.077619282412</v>
      </c>
      <c r="D31" s="126" t="s">
        <v>6</v>
      </c>
      <c r="E31" s="126" t="s">
        <v>23</v>
      </c>
      <c r="F31" s="126" t="s">
        <v>44</v>
      </c>
      <c r="G31" s="126" t="s">
        <v>46</v>
      </c>
      <c r="H31" s="127"/>
      <c r="I31" s="125"/>
      <c r="J31" s="126"/>
      <c r="K31" s="126"/>
      <c r="L31" s="126"/>
      <c r="M31" s="126"/>
      <c r="V31" s="46"/>
      <c r="W31" s="46"/>
    </row>
    <row r="32" spans="3:51" x14ac:dyDescent="0.2">
      <c r="C32" s="125">
        <v>46193.077619282412</v>
      </c>
      <c r="D32" s="126" t="s">
        <v>7</v>
      </c>
      <c r="E32" s="126" t="s">
        <v>17</v>
      </c>
      <c r="F32" s="126" t="s">
        <v>44</v>
      </c>
      <c r="G32" s="126" t="s">
        <v>47</v>
      </c>
      <c r="H32" s="127"/>
      <c r="I32" s="126"/>
      <c r="J32" s="126"/>
      <c r="K32" s="126"/>
      <c r="L32" s="126"/>
      <c r="M32" s="126"/>
      <c r="V32" s="46"/>
      <c r="W32" s="46"/>
    </row>
    <row r="33" spans="3:23" x14ac:dyDescent="0.2">
      <c r="C33" s="125">
        <v>46198.077619282412</v>
      </c>
      <c r="D33" s="126" t="s">
        <v>8</v>
      </c>
      <c r="E33" s="126" t="s">
        <v>25</v>
      </c>
      <c r="F33" s="126" t="s">
        <v>48</v>
      </c>
      <c r="G33" s="126" t="s">
        <v>49</v>
      </c>
      <c r="H33" s="127"/>
      <c r="I33" s="126"/>
      <c r="J33" s="126"/>
      <c r="K33" s="126"/>
      <c r="L33" s="126"/>
      <c r="M33" s="126"/>
      <c r="V33" s="46"/>
      <c r="W33" s="46"/>
    </row>
    <row r="34" spans="3:23" x14ac:dyDescent="0.2">
      <c r="C34" s="125">
        <v>46203.077619282412</v>
      </c>
      <c r="D34" s="126" t="s">
        <v>9</v>
      </c>
      <c r="E34" s="126" t="s">
        <v>28</v>
      </c>
      <c r="F34" s="126" t="s">
        <v>48</v>
      </c>
      <c r="G34" s="126" t="s">
        <v>50</v>
      </c>
      <c r="H34" s="127"/>
      <c r="I34" s="126"/>
      <c r="J34" s="126"/>
      <c r="K34" s="126"/>
      <c r="L34" s="126"/>
      <c r="M34" s="126"/>
      <c r="V34" s="46"/>
      <c r="W34" s="46"/>
    </row>
    <row r="35" spans="3:23" x14ac:dyDescent="0.2">
      <c r="C35" s="125">
        <v>46208.077619282412</v>
      </c>
      <c r="D35" s="126" t="s">
        <v>10</v>
      </c>
      <c r="E35" s="126" t="s">
        <v>26</v>
      </c>
      <c r="F35" s="126" t="s">
        <v>44</v>
      </c>
      <c r="G35" s="126" t="s">
        <v>51</v>
      </c>
      <c r="H35" s="127"/>
      <c r="I35" s="126"/>
      <c r="J35" s="126"/>
      <c r="K35" s="126"/>
      <c r="L35" s="126"/>
      <c r="M35" s="126"/>
      <c r="V35" s="46"/>
      <c r="W35" s="46"/>
    </row>
    <row r="36" spans="3:23" x14ac:dyDescent="0.2">
      <c r="C36" s="125">
        <v>46213.077619282412</v>
      </c>
      <c r="D36" s="126" t="s">
        <v>11</v>
      </c>
      <c r="E36" s="126" t="s">
        <v>20</v>
      </c>
      <c r="F36" s="126" t="s">
        <v>48</v>
      </c>
      <c r="G36" s="126" t="s">
        <v>52</v>
      </c>
      <c r="H36" s="127"/>
      <c r="I36" s="126"/>
      <c r="J36" s="126"/>
      <c r="K36" s="126"/>
      <c r="L36" s="126"/>
      <c r="M36" s="126"/>
      <c r="V36" s="46"/>
      <c r="W36" s="46"/>
    </row>
    <row r="37" spans="3:23" x14ac:dyDescent="0.2">
      <c r="C37" s="125">
        <v>46218.077619282412</v>
      </c>
      <c r="D37" s="126" t="s">
        <v>12</v>
      </c>
      <c r="E37" s="126" t="s">
        <v>19</v>
      </c>
      <c r="F37" s="126" t="s">
        <v>44</v>
      </c>
      <c r="G37" s="126" t="s">
        <v>53</v>
      </c>
      <c r="H37" s="127"/>
      <c r="I37" s="126"/>
      <c r="J37" s="126"/>
      <c r="K37" s="126"/>
      <c r="L37" s="126"/>
      <c r="M37" s="126"/>
      <c r="V37" s="46"/>
      <c r="W37" s="46"/>
    </row>
    <row r="38" spans="3:23" x14ac:dyDescent="0.2">
      <c r="C38" s="125">
        <v>46223.077619282412</v>
      </c>
      <c r="D38" s="126" t="s">
        <v>6</v>
      </c>
      <c r="E38" s="126" t="s">
        <v>21</v>
      </c>
      <c r="F38" s="126" t="s">
        <v>44</v>
      </c>
      <c r="G38" s="126" t="s">
        <v>54</v>
      </c>
      <c r="H38" s="127"/>
      <c r="I38" s="126"/>
      <c r="J38" s="126"/>
      <c r="K38" s="126"/>
      <c r="L38" s="126"/>
      <c r="M38" s="126"/>
      <c r="V38" s="46"/>
      <c r="W38" s="46"/>
    </row>
    <row r="39" spans="3:23" x14ac:dyDescent="0.2">
      <c r="C39" s="125">
        <v>46228.077619282412</v>
      </c>
      <c r="D39" s="126" t="s">
        <v>5</v>
      </c>
      <c r="E39" s="126" t="s">
        <v>27</v>
      </c>
      <c r="F39" s="126" t="s">
        <v>48</v>
      </c>
      <c r="G39" s="126" t="s">
        <v>55</v>
      </c>
      <c r="H39" s="127"/>
      <c r="I39" s="126"/>
      <c r="J39" s="126"/>
      <c r="K39" s="126"/>
      <c r="L39" s="126"/>
      <c r="M39" s="126"/>
      <c r="V39" s="46"/>
      <c r="W39" s="46"/>
    </row>
    <row r="40" spans="3:23" x14ac:dyDescent="0.2">
      <c r="C40" s="125">
        <v>46233.077619282412</v>
      </c>
      <c r="D40" s="126" t="s">
        <v>9</v>
      </c>
      <c r="E40" s="126" t="s">
        <v>22</v>
      </c>
      <c r="F40" s="126" t="s">
        <v>48</v>
      </c>
      <c r="G40" s="126" t="s">
        <v>56</v>
      </c>
      <c r="H40" s="127"/>
      <c r="I40" s="126"/>
      <c r="J40" s="126"/>
      <c r="K40" s="126"/>
      <c r="L40" s="126"/>
      <c r="M40" s="126"/>
      <c r="V40" s="46"/>
      <c r="W40" s="46"/>
    </row>
    <row r="41" spans="3:23" x14ac:dyDescent="0.2">
      <c r="C41" s="125">
        <v>46238.077619282412</v>
      </c>
      <c r="D41" s="126" t="s">
        <v>11</v>
      </c>
      <c r="E41" s="126" t="s">
        <v>25</v>
      </c>
      <c r="F41" s="126" t="s">
        <v>44</v>
      </c>
      <c r="G41" s="126" t="s">
        <v>57</v>
      </c>
      <c r="H41" s="127"/>
      <c r="I41" s="126"/>
      <c r="J41" s="126"/>
      <c r="K41" s="126"/>
      <c r="L41" s="126"/>
      <c r="M41" s="126"/>
      <c r="V41" s="46"/>
      <c r="W41" s="46"/>
    </row>
    <row r="42" spans="3:23" x14ac:dyDescent="0.2">
      <c r="C42" s="125">
        <v>46243.16510416667</v>
      </c>
      <c r="D42" s="126" t="s">
        <v>6</v>
      </c>
      <c r="E42" s="126" t="s">
        <v>21</v>
      </c>
      <c r="F42" s="126"/>
      <c r="G42" s="126">
        <v>-2</v>
      </c>
      <c r="H42" s="127"/>
      <c r="I42" s="126"/>
      <c r="J42" s="126"/>
      <c r="K42" s="126"/>
      <c r="L42" s="126"/>
      <c r="M42" s="126"/>
      <c r="V42" s="46"/>
      <c r="W42" s="46"/>
    </row>
    <row r="43" spans="3:23" x14ac:dyDescent="0.2">
      <c r="C43" s="125"/>
      <c r="D43" s="126"/>
      <c r="E43" s="126"/>
      <c r="F43" s="126"/>
      <c r="G43" s="126"/>
      <c r="H43" s="127"/>
      <c r="I43" s="126"/>
      <c r="J43" s="126"/>
      <c r="K43" s="126"/>
      <c r="L43" s="126"/>
      <c r="M43" s="126"/>
      <c r="V43" s="46"/>
      <c r="W43" s="46"/>
    </row>
    <row r="44" spans="3:23" x14ac:dyDescent="0.2">
      <c r="C44" s="125"/>
      <c r="D44" s="126"/>
      <c r="E44" s="126"/>
      <c r="F44" s="126"/>
      <c r="G44" s="126"/>
      <c r="H44" s="127"/>
      <c r="I44" s="126"/>
      <c r="J44" s="126"/>
      <c r="K44" s="126"/>
      <c r="L44" s="126"/>
      <c r="M44" s="126"/>
      <c r="V44" s="46"/>
      <c r="W44" s="46"/>
    </row>
    <row r="45" spans="3:23" x14ac:dyDescent="0.2">
      <c r="C45" s="125"/>
      <c r="D45" s="126"/>
      <c r="E45" s="126"/>
      <c r="F45" s="126"/>
      <c r="G45" s="126"/>
      <c r="H45" s="127"/>
      <c r="I45" s="126"/>
      <c r="J45" s="126"/>
      <c r="K45" s="126"/>
      <c r="L45" s="126"/>
      <c r="M45" s="126"/>
      <c r="V45" s="46"/>
      <c r="W45" s="46"/>
    </row>
    <row r="46" spans="3:23" x14ac:dyDescent="0.2">
      <c r="C46" s="125"/>
      <c r="D46" s="126"/>
      <c r="E46" s="126"/>
      <c r="F46" s="126"/>
      <c r="G46" s="126"/>
      <c r="H46" s="127"/>
      <c r="I46" s="126"/>
      <c r="J46" s="126"/>
      <c r="K46" s="126"/>
      <c r="L46" s="126"/>
      <c r="M46" s="126"/>
      <c r="V46" s="46"/>
      <c r="W46" s="46"/>
    </row>
    <row r="47" spans="3:23" x14ac:dyDescent="0.2">
      <c r="C47" s="125"/>
      <c r="D47" s="126"/>
      <c r="E47" s="126"/>
      <c r="F47" s="126"/>
      <c r="G47" s="126"/>
      <c r="H47" s="127"/>
      <c r="I47" s="126"/>
      <c r="J47" s="126"/>
      <c r="K47" s="126"/>
      <c r="L47" s="126"/>
      <c r="M47" s="126"/>
      <c r="V47" s="46"/>
      <c r="W47" s="46"/>
    </row>
    <row r="48" spans="3:23" x14ac:dyDescent="0.2">
      <c r="C48" s="125"/>
      <c r="D48" s="126"/>
      <c r="E48" s="126"/>
      <c r="F48" s="126"/>
      <c r="G48" s="126"/>
      <c r="H48" s="127"/>
      <c r="I48" s="126"/>
      <c r="J48" s="126"/>
      <c r="K48" s="126"/>
      <c r="L48" s="126"/>
      <c r="M48" s="126"/>
      <c r="V48" s="46"/>
      <c r="W48" s="46"/>
    </row>
    <row r="49" spans="3:23" x14ac:dyDescent="0.2">
      <c r="C49" s="125"/>
      <c r="D49" s="126"/>
      <c r="E49" s="126"/>
      <c r="F49" s="126"/>
      <c r="G49" s="126"/>
      <c r="H49" s="127"/>
      <c r="I49" s="126"/>
      <c r="J49" s="126"/>
      <c r="K49" s="126"/>
      <c r="L49" s="126"/>
      <c r="M49" s="126"/>
      <c r="V49" s="46"/>
      <c r="W49" s="46"/>
    </row>
    <row r="50" spans="3:23" x14ac:dyDescent="0.2">
      <c r="C50" s="125"/>
      <c r="D50" s="126"/>
      <c r="E50" s="126"/>
      <c r="F50" s="126"/>
      <c r="G50" s="126"/>
      <c r="H50" s="127"/>
      <c r="I50" s="126"/>
      <c r="J50" s="126"/>
      <c r="K50" s="126"/>
      <c r="L50" s="126"/>
      <c r="M50" s="126"/>
      <c r="V50" s="46"/>
      <c r="W50" s="46"/>
    </row>
    <row r="51" spans="3:23" x14ac:dyDescent="0.2">
      <c r="C51" s="125"/>
      <c r="D51" s="126"/>
      <c r="E51" s="126"/>
      <c r="F51" s="126"/>
      <c r="G51" s="126"/>
      <c r="H51" s="127"/>
      <c r="I51" s="126"/>
      <c r="J51" s="126"/>
      <c r="K51" s="126"/>
      <c r="L51" s="126"/>
      <c r="M51" s="126"/>
      <c r="V51" s="46"/>
      <c r="W51" s="46"/>
    </row>
    <row r="52" spans="3:23" x14ac:dyDescent="0.2">
      <c r="C52" s="125"/>
      <c r="D52" s="126"/>
      <c r="E52" s="126"/>
      <c r="F52" s="126"/>
      <c r="G52" s="126"/>
      <c r="H52" s="127"/>
      <c r="I52" s="126"/>
      <c r="J52" s="126"/>
      <c r="K52" s="126"/>
      <c r="L52" s="126"/>
      <c r="M52" s="126"/>
      <c r="V52" s="46"/>
      <c r="W52" s="46"/>
    </row>
    <row r="53" spans="3:23" x14ac:dyDescent="0.2">
      <c r="C53" s="125"/>
      <c r="D53" s="126"/>
      <c r="E53" s="126"/>
      <c r="F53" s="126"/>
      <c r="G53" s="126"/>
      <c r="H53" s="127"/>
      <c r="I53" s="126"/>
      <c r="J53" s="126"/>
      <c r="K53" s="126"/>
      <c r="L53" s="126"/>
      <c r="M53" s="126"/>
      <c r="V53" s="46"/>
      <c r="W53" s="46"/>
    </row>
    <row r="54" spans="3:23" x14ac:dyDescent="0.2">
      <c r="C54" s="125"/>
      <c r="D54" s="126"/>
      <c r="E54" s="126"/>
      <c r="F54" s="126"/>
      <c r="G54" s="126"/>
      <c r="H54" s="127"/>
      <c r="I54" s="126"/>
      <c r="J54" s="126"/>
      <c r="K54" s="126"/>
      <c r="L54" s="126"/>
      <c r="M54" s="126"/>
      <c r="V54" s="46"/>
      <c r="W54" s="46"/>
    </row>
    <row r="55" spans="3:23" x14ac:dyDescent="0.2">
      <c r="C55" s="125"/>
      <c r="D55" s="126"/>
      <c r="E55" s="126"/>
      <c r="F55" s="126"/>
      <c r="G55" s="126"/>
      <c r="H55" s="127"/>
      <c r="I55" s="126"/>
      <c r="J55" s="126"/>
      <c r="K55" s="126"/>
      <c r="L55" s="126"/>
      <c r="M55" s="126"/>
      <c r="V55" s="46"/>
      <c r="W55" s="46"/>
    </row>
    <row r="56" spans="3:23" x14ac:dyDescent="0.2">
      <c r="C56" s="125"/>
      <c r="D56" s="126"/>
      <c r="E56" s="126"/>
      <c r="F56" s="126"/>
      <c r="G56" s="126"/>
      <c r="H56" s="127"/>
      <c r="I56" s="126"/>
      <c r="J56" s="126"/>
      <c r="K56" s="126"/>
      <c r="L56" s="126"/>
      <c r="M56" s="126"/>
      <c r="V56" s="46"/>
      <c r="W56" s="46"/>
    </row>
    <row r="57" spans="3:23" x14ac:dyDescent="0.2">
      <c r="C57" s="125"/>
      <c r="D57" s="126"/>
      <c r="E57" s="126"/>
      <c r="F57" s="126"/>
      <c r="G57" s="126"/>
      <c r="H57" s="127"/>
      <c r="I57" s="126"/>
      <c r="J57" s="126"/>
      <c r="K57" s="126"/>
      <c r="L57" s="126"/>
      <c r="M57" s="126"/>
      <c r="V57" s="46"/>
      <c r="W57" s="46"/>
    </row>
    <row r="58" spans="3:23" x14ac:dyDescent="0.2">
      <c r="C58" s="125"/>
      <c r="D58" s="126"/>
      <c r="E58" s="126"/>
      <c r="F58" s="126"/>
      <c r="G58" s="126"/>
      <c r="H58" s="127"/>
      <c r="I58" s="126"/>
      <c r="J58" s="126"/>
      <c r="K58" s="126"/>
      <c r="L58" s="126"/>
      <c r="M58" s="126"/>
      <c r="V58" s="46"/>
      <c r="W58" s="46"/>
    </row>
    <row r="59" spans="3:23" x14ac:dyDescent="0.2">
      <c r="C59" s="125"/>
      <c r="D59" s="126"/>
      <c r="E59" s="126"/>
      <c r="F59" s="126"/>
      <c r="G59" s="126"/>
      <c r="H59" s="127"/>
      <c r="I59" s="126"/>
      <c r="J59" s="126"/>
      <c r="K59" s="126"/>
      <c r="L59" s="126"/>
      <c r="M59" s="126"/>
      <c r="V59" s="46"/>
      <c r="W59" s="46"/>
    </row>
    <row r="60" spans="3:23" x14ac:dyDescent="0.2">
      <c r="C60" s="125"/>
      <c r="D60" s="126"/>
      <c r="E60" s="126"/>
      <c r="F60" s="126"/>
      <c r="G60" s="126"/>
      <c r="H60" s="127"/>
      <c r="I60" s="126"/>
      <c r="J60" s="126"/>
      <c r="K60" s="126"/>
      <c r="L60" s="126"/>
      <c r="M60" s="126"/>
      <c r="V60" s="46"/>
      <c r="W60" s="46"/>
    </row>
    <row r="61" spans="3:23" x14ac:dyDescent="0.2">
      <c r="C61" s="125"/>
      <c r="D61" s="126"/>
      <c r="E61" s="126"/>
      <c r="F61" s="126"/>
      <c r="G61" s="126"/>
      <c r="H61" s="127"/>
      <c r="I61" s="126"/>
      <c r="J61" s="126"/>
      <c r="K61" s="126"/>
      <c r="L61" s="126"/>
      <c r="M61" s="126"/>
      <c r="V61" s="46"/>
      <c r="W61" s="46"/>
    </row>
    <row r="62" spans="3:23" x14ac:dyDescent="0.2">
      <c r="C62" s="125"/>
      <c r="D62" s="126"/>
      <c r="E62" s="126"/>
      <c r="F62" s="126"/>
      <c r="G62" s="126"/>
      <c r="H62" s="127"/>
      <c r="I62" s="126"/>
      <c r="J62" s="126"/>
      <c r="K62" s="126"/>
      <c r="L62" s="126"/>
      <c r="M62" s="126"/>
      <c r="V62" s="46"/>
      <c r="W62" s="46"/>
    </row>
    <row r="63" spans="3:23" x14ac:dyDescent="0.2">
      <c r="C63" s="125"/>
      <c r="D63" s="126"/>
      <c r="E63" s="126"/>
      <c r="F63" s="126"/>
      <c r="G63" s="126"/>
      <c r="H63" s="127"/>
      <c r="I63" s="126"/>
      <c r="J63" s="126"/>
      <c r="K63" s="126"/>
      <c r="L63" s="126"/>
      <c r="M63" s="126"/>
      <c r="V63" s="46"/>
      <c r="W63" s="46"/>
    </row>
    <row r="64" spans="3:23" x14ac:dyDescent="0.2">
      <c r="C64" s="125"/>
      <c r="D64" s="126"/>
      <c r="E64" s="126"/>
      <c r="F64" s="126"/>
      <c r="G64" s="126"/>
      <c r="H64" s="127"/>
      <c r="I64" s="126"/>
      <c r="J64" s="126"/>
      <c r="K64" s="126"/>
      <c r="L64" s="126"/>
      <c r="M64" s="126"/>
      <c r="V64" s="46"/>
      <c r="W64" s="46"/>
    </row>
    <row r="65" spans="3:23" x14ac:dyDescent="0.2">
      <c r="C65" s="125"/>
      <c r="D65" s="126"/>
      <c r="E65" s="126"/>
      <c r="F65" s="126"/>
      <c r="G65" s="126"/>
      <c r="H65" s="127"/>
      <c r="I65" s="126"/>
      <c r="J65" s="126"/>
      <c r="K65" s="126"/>
      <c r="L65" s="126"/>
      <c r="M65" s="126"/>
      <c r="V65" s="46"/>
      <c r="W65" s="46"/>
    </row>
    <row r="66" spans="3:23" x14ac:dyDescent="0.2">
      <c r="C66" s="125"/>
      <c r="D66" s="126"/>
      <c r="E66" s="126"/>
      <c r="F66" s="126"/>
      <c r="G66" s="126"/>
      <c r="H66" s="127"/>
      <c r="I66" s="126"/>
      <c r="J66" s="126"/>
      <c r="K66" s="126"/>
      <c r="L66" s="126"/>
      <c r="M66" s="126"/>
      <c r="V66" s="46"/>
      <c r="W66" s="46"/>
    </row>
    <row r="67" spans="3:23" x14ac:dyDescent="0.2">
      <c r="C67" s="125"/>
      <c r="D67" s="126"/>
      <c r="E67" s="126"/>
      <c r="F67" s="126"/>
      <c r="G67" s="126"/>
      <c r="H67" s="127"/>
      <c r="I67" s="126"/>
      <c r="J67" s="126"/>
      <c r="K67" s="126"/>
      <c r="L67" s="126"/>
      <c r="M67" s="126"/>
      <c r="V67" s="46"/>
      <c r="W67" s="46"/>
    </row>
    <row r="68" spans="3:23" x14ac:dyDescent="0.2">
      <c r="C68" s="125"/>
      <c r="D68" s="126"/>
      <c r="E68" s="126"/>
      <c r="F68" s="126"/>
      <c r="G68" s="126"/>
      <c r="H68" s="127"/>
      <c r="I68" s="126"/>
      <c r="J68" s="126"/>
      <c r="K68" s="126"/>
      <c r="L68" s="126"/>
      <c r="M68" s="126"/>
      <c r="V68" s="46"/>
      <c r="W68" s="46"/>
    </row>
    <row r="69" spans="3:23" x14ac:dyDescent="0.2">
      <c r="C69" s="125"/>
      <c r="D69" s="126"/>
      <c r="E69" s="126"/>
      <c r="F69" s="126"/>
      <c r="G69" s="126"/>
      <c r="H69" s="127"/>
      <c r="I69" s="126"/>
      <c r="J69" s="126"/>
      <c r="K69" s="126"/>
      <c r="L69" s="126"/>
      <c r="M69" s="126"/>
      <c r="V69" s="46"/>
      <c r="W69" s="46"/>
    </row>
    <row r="70" spans="3:23" x14ac:dyDescent="0.2">
      <c r="C70" s="125"/>
      <c r="D70" s="126"/>
      <c r="E70" s="126"/>
      <c r="F70" s="126"/>
      <c r="G70" s="126"/>
      <c r="H70" s="127"/>
      <c r="I70" s="126"/>
      <c r="J70" s="126"/>
      <c r="K70" s="126"/>
      <c r="L70" s="126"/>
      <c r="M70" s="126"/>
      <c r="V70" s="46"/>
      <c r="W70" s="46"/>
    </row>
    <row r="71" spans="3:23" x14ac:dyDescent="0.2">
      <c r="C71" s="125"/>
      <c r="D71" s="126"/>
      <c r="E71" s="126"/>
      <c r="F71" s="126"/>
      <c r="G71" s="126"/>
      <c r="H71" s="127"/>
      <c r="I71" s="126"/>
      <c r="J71" s="126"/>
      <c r="K71" s="126"/>
      <c r="L71" s="126"/>
      <c r="M71" s="126"/>
      <c r="V71" s="46"/>
      <c r="W71" s="46"/>
    </row>
    <row r="72" spans="3:23" x14ac:dyDescent="0.2">
      <c r="C72" s="125"/>
      <c r="D72" s="126"/>
      <c r="E72" s="126"/>
      <c r="F72" s="126"/>
      <c r="G72" s="126"/>
      <c r="H72" s="127"/>
      <c r="I72" s="126"/>
      <c r="J72" s="126"/>
      <c r="K72" s="126"/>
      <c r="L72" s="126"/>
      <c r="M72" s="126"/>
      <c r="V72" s="46"/>
      <c r="W72" s="46"/>
    </row>
    <row r="73" spans="3:23" s="122" customFormat="1" x14ac:dyDescent="0.2">
      <c r="C73" s="127"/>
      <c r="D73" s="127"/>
      <c r="E73" s="127"/>
      <c r="F73" s="127"/>
      <c r="G73" s="127"/>
      <c r="H73" s="127"/>
      <c r="I73" s="127"/>
      <c r="J73" s="127"/>
      <c r="K73" s="127"/>
      <c r="L73" s="127"/>
      <c r="M73" s="127"/>
    </row>
    <row r="74" spans="3:23" x14ac:dyDescent="0.2">
      <c r="V74" s="46"/>
      <c r="W74" s="46"/>
    </row>
    <row r="75" spans="3:23" x14ac:dyDescent="0.2">
      <c r="V75" s="46"/>
      <c r="W75" s="46"/>
    </row>
    <row r="76" spans="3:23" ht="23.25" customHeight="1" x14ac:dyDescent="0.25">
      <c r="C76" s="97" t="s">
        <v>58</v>
      </c>
      <c r="D76" s="187" t="s">
        <v>59</v>
      </c>
      <c r="E76" s="182"/>
      <c r="V76" s="46"/>
      <c r="W76" s="46"/>
    </row>
    <row r="77" spans="3:23" ht="377.25" customHeight="1" x14ac:dyDescent="0.35">
      <c r="C77" s="98"/>
      <c r="D77" s="181"/>
      <c r="E77" s="182"/>
      <c r="V77" s="46"/>
      <c r="W77" s="46"/>
    </row>
    <row r="78" spans="3:23" ht="21" customHeight="1" thickBot="1" x14ac:dyDescent="0.25">
      <c r="C78" s="103" t="s">
        <v>14</v>
      </c>
      <c r="D78" s="104" t="s">
        <v>44</v>
      </c>
      <c r="E78" s="105" t="s">
        <v>48</v>
      </c>
      <c r="V78" s="46"/>
      <c r="W78" s="46"/>
    </row>
    <row r="79" spans="3:23" ht="20.25" customHeight="1" x14ac:dyDescent="0.25">
      <c r="C79" s="101" t="s">
        <v>17</v>
      </c>
      <c r="D79" s="102">
        <v>17</v>
      </c>
      <c r="E79" s="100">
        <v>18.2</v>
      </c>
      <c r="V79" s="46"/>
      <c r="W79" s="46"/>
    </row>
    <row r="80" spans="3:23" ht="20.25" customHeight="1" x14ac:dyDescent="0.25">
      <c r="C80" s="99" t="s">
        <v>18</v>
      </c>
      <c r="D80" s="102">
        <v>17.600000000000001</v>
      </c>
      <c r="E80" s="100">
        <v>18.5</v>
      </c>
      <c r="V80" s="46"/>
      <c r="W80" s="46"/>
    </row>
    <row r="81" spans="3:23" ht="20.25" customHeight="1" x14ac:dyDescent="0.25">
      <c r="C81" s="99" t="s">
        <v>19</v>
      </c>
      <c r="D81" s="102">
        <v>17</v>
      </c>
      <c r="E81" s="100">
        <v>18.399999999999999</v>
      </c>
      <c r="V81" s="46"/>
      <c r="W81" s="46"/>
    </row>
    <row r="82" spans="3:23" ht="20.25" customHeight="1" x14ac:dyDescent="0.25">
      <c r="C82" s="99" t="s">
        <v>20</v>
      </c>
      <c r="D82" s="102">
        <v>17.5</v>
      </c>
      <c r="E82" s="100">
        <v>18.600000000000001</v>
      </c>
      <c r="V82" s="46"/>
      <c r="W82" s="46"/>
    </row>
    <row r="83" spans="3:23" ht="20.25" customHeight="1" x14ac:dyDescent="0.25">
      <c r="C83" s="99" t="s">
        <v>21</v>
      </c>
      <c r="D83" s="102">
        <v>17.2</v>
      </c>
      <c r="E83" s="100">
        <v>18</v>
      </c>
      <c r="V83" s="46"/>
      <c r="W83" s="46"/>
    </row>
    <row r="84" spans="3:23" ht="20.25" customHeight="1" x14ac:dyDescent="0.25">
      <c r="C84" s="99" t="s">
        <v>22</v>
      </c>
      <c r="D84" s="102">
        <v>17.8</v>
      </c>
      <c r="E84" s="100">
        <v>18.600000000000001</v>
      </c>
      <c r="V84" s="46"/>
      <c r="W84" s="46"/>
    </row>
    <row r="85" spans="3:23" ht="20.25" customHeight="1" x14ac:dyDescent="0.25">
      <c r="C85" s="99" t="s">
        <v>23</v>
      </c>
      <c r="D85" s="102">
        <v>17.600000000000001</v>
      </c>
      <c r="E85" s="100">
        <v>18.600000000000001</v>
      </c>
      <c r="V85" s="46"/>
      <c r="W85" s="46"/>
    </row>
    <row r="86" spans="3:23" ht="20.25" customHeight="1" x14ac:dyDescent="0.25">
      <c r="C86" s="99" t="s">
        <v>24</v>
      </c>
      <c r="D86" s="102">
        <v>17.5</v>
      </c>
      <c r="E86" s="100">
        <v>18.2</v>
      </c>
      <c r="V86" s="46"/>
      <c r="W86" s="46"/>
    </row>
    <row r="87" spans="3:23" ht="20.25" customHeight="1" x14ac:dyDescent="0.25">
      <c r="C87" s="99" t="s">
        <v>25</v>
      </c>
      <c r="D87" s="102">
        <v>17.100000000000001</v>
      </c>
      <c r="E87" s="100">
        <v>18.2</v>
      </c>
      <c r="V87" s="46"/>
      <c r="W87" s="46"/>
    </row>
    <row r="88" spans="3:23" ht="20.25" customHeight="1" x14ac:dyDescent="0.25">
      <c r="C88" s="99" t="s">
        <v>26</v>
      </c>
      <c r="D88" s="102">
        <v>17.2</v>
      </c>
      <c r="E88" s="100">
        <v>18.399999999999999</v>
      </c>
      <c r="V88" s="46"/>
      <c r="W88" s="46"/>
    </row>
    <row r="89" spans="3:23" ht="20.25" customHeight="1" x14ac:dyDescent="0.25">
      <c r="C89" s="99" t="s">
        <v>27</v>
      </c>
      <c r="D89" s="102">
        <v>17.600000000000001</v>
      </c>
      <c r="E89" s="100">
        <v>18.399999999999999</v>
      </c>
      <c r="V89" s="46"/>
      <c r="W89" s="46"/>
    </row>
    <row r="90" spans="3:23" ht="21" customHeight="1" thickBot="1" x14ac:dyDescent="0.3">
      <c r="C90" s="106" t="s">
        <v>28</v>
      </c>
      <c r="D90" s="113">
        <v>17.5</v>
      </c>
      <c r="E90" s="100">
        <v>18.600000000000001</v>
      </c>
      <c r="V90" s="46"/>
      <c r="W90" s="46"/>
    </row>
    <row r="91" spans="3:23" ht="20.25" customHeight="1" x14ac:dyDescent="0.25">
      <c r="C91" s="107" t="s">
        <v>29</v>
      </c>
      <c r="D91" s="108">
        <v>19</v>
      </c>
      <c r="E91" s="108">
        <v>19</v>
      </c>
      <c r="V91" s="46"/>
      <c r="W91" s="46"/>
    </row>
    <row r="92" spans="3:23" ht="20.25" customHeight="1" x14ac:dyDescent="0.25">
      <c r="C92" s="96"/>
      <c r="D92" s="95"/>
      <c r="E92" s="95"/>
      <c r="V92" s="46"/>
      <c r="W92" s="46"/>
    </row>
    <row r="93" spans="3:23" ht="46.5" customHeight="1" x14ac:dyDescent="0.25">
      <c r="C93" s="75" t="s">
        <v>30</v>
      </c>
      <c r="D93" s="74" t="s">
        <v>60</v>
      </c>
      <c r="E93" s="74" t="s">
        <v>61</v>
      </c>
      <c r="V93" s="46"/>
      <c r="W93" s="46"/>
    </row>
    <row r="94" spans="3:23" ht="18.75" customHeight="1" x14ac:dyDescent="0.3">
      <c r="C94" s="123" t="s">
        <v>62</v>
      </c>
      <c r="V94" s="46"/>
      <c r="W94" s="46"/>
    </row>
    <row r="95" spans="3:23" ht="15.75" customHeight="1" x14ac:dyDescent="0.25">
      <c r="C95" s="109" t="s">
        <v>40</v>
      </c>
      <c r="D95" s="109" t="s">
        <v>41</v>
      </c>
      <c r="E95" s="109" t="s">
        <v>42</v>
      </c>
      <c r="F95" s="109" t="s">
        <v>43</v>
      </c>
      <c r="G95" s="110" t="s">
        <v>30</v>
      </c>
      <c r="V95" s="46"/>
      <c r="W95" s="46"/>
    </row>
    <row r="96" spans="3:23" x14ac:dyDescent="0.2">
      <c r="C96" s="125">
        <v>46193.077935199581</v>
      </c>
      <c r="D96" s="126" t="s">
        <v>63</v>
      </c>
      <c r="E96" s="126" t="s">
        <v>64</v>
      </c>
      <c r="F96" s="126" t="s">
        <v>44</v>
      </c>
      <c r="G96" s="126" t="s">
        <v>65</v>
      </c>
      <c r="V96" s="46"/>
      <c r="W96" s="46"/>
    </row>
    <row r="97" spans="3:7" s="46" customFormat="1" x14ac:dyDescent="0.2">
      <c r="C97" s="125">
        <v>46201.077935199581</v>
      </c>
      <c r="D97" s="126" t="s">
        <v>63</v>
      </c>
      <c r="E97" s="126" t="s">
        <v>66</v>
      </c>
      <c r="F97" s="126" t="s">
        <v>44</v>
      </c>
      <c r="G97" s="126" t="s">
        <v>67</v>
      </c>
    </row>
    <row r="98" spans="3:7" s="46" customFormat="1" x14ac:dyDescent="0.2">
      <c r="C98" s="125">
        <v>46209.077935199581</v>
      </c>
      <c r="D98" s="126" t="s">
        <v>63</v>
      </c>
      <c r="E98" s="126" t="s">
        <v>68</v>
      </c>
      <c r="F98" s="126" t="s">
        <v>44</v>
      </c>
      <c r="G98" s="126" t="s">
        <v>69</v>
      </c>
    </row>
    <row r="99" spans="3:7" s="46" customFormat="1" x14ac:dyDescent="0.2">
      <c r="C99" s="125">
        <v>46217.077935199581</v>
      </c>
      <c r="D99" s="126" t="s">
        <v>63</v>
      </c>
      <c r="E99" s="126" t="s">
        <v>25</v>
      </c>
      <c r="F99" s="126" t="s">
        <v>48</v>
      </c>
      <c r="G99" s="126" t="s">
        <v>70</v>
      </c>
    </row>
    <row r="100" spans="3:7" s="46" customFormat="1" x14ac:dyDescent="0.2">
      <c r="C100" s="125">
        <v>46225.077935199581</v>
      </c>
      <c r="D100" s="126" t="s">
        <v>63</v>
      </c>
      <c r="E100" s="126" t="s">
        <v>71</v>
      </c>
      <c r="F100" s="126" t="s">
        <v>48</v>
      </c>
      <c r="G100" s="126" t="s">
        <v>72</v>
      </c>
    </row>
    <row r="101" spans="3:7" s="46" customFormat="1" x14ac:dyDescent="0.2">
      <c r="C101" s="125">
        <v>46233.077935199581</v>
      </c>
      <c r="D101" s="126" t="s">
        <v>63</v>
      </c>
      <c r="E101" s="126" t="s">
        <v>73</v>
      </c>
      <c r="F101" s="126" t="s">
        <v>48</v>
      </c>
      <c r="G101" s="126" t="s">
        <v>74</v>
      </c>
    </row>
    <row r="102" spans="3:7" s="46" customFormat="1" x14ac:dyDescent="0.2">
      <c r="C102" s="125"/>
      <c r="D102" s="126"/>
      <c r="E102" s="126"/>
      <c r="F102" s="126"/>
      <c r="G102" s="126"/>
    </row>
    <row r="103" spans="3:7" s="46" customFormat="1" x14ac:dyDescent="0.2">
      <c r="C103" s="125"/>
      <c r="D103" s="126"/>
      <c r="E103" s="126"/>
      <c r="F103" s="126"/>
      <c r="G103" s="126"/>
    </row>
    <row r="104" spans="3:7" s="46" customFormat="1" x14ac:dyDescent="0.2">
      <c r="C104" s="125"/>
      <c r="D104" s="126"/>
      <c r="E104" s="126"/>
      <c r="F104" s="126"/>
      <c r="G104" s="126"/>
    </row>
    <row r="105" spans="3:7" s="46" customFormat="1" x14ac:dyDescent="0.2">
      <c r="C105" s="125"/>
      <c r="D105" s="126"/>
      <c r="E105" s="126"/>
      <c r="F105" s="126"/>
      <c r="G105" s="126"/>
    </row>
    <row r="106" spans="3:7" s="46" customFormat="1" x14ac:dyDescent="0.2">
      <c r="C106" s="125"/>
      <c r="D106" s="126"/>
      <c r="E106" s="126"/>
      <c r="F106" s="126"/>
      <c r="G106" s="126"/>
    </row>
    <row r="107" spans="3:7" s="46" customFormat="1" x14ac:dyDescent="0.2">
      <c r="C107" s="125"/>
      <c r="D107" s="126"/>
      <c r="E107" s="126"/>
      <c r="F107" s="126"/>
      <c r="G107" s="126"/>
    </row>
    <row r="108" spans="3:7" s="46" customFormat="1" x14ac:dyDescent="0.2">
      <c r="C108" s="125"/>
      <c r="D108" s="126"/>
      <c r="E108" s="126"/>
      <c r="F108" s="126"/>
      <c r="G108" s="126"/>
    </row>
    <row r="109" spans="3:7" s="46" customFormat="1" x14ac:dyDescent="0.2">
      <c r="C109" s="125"/>
      <c r="D109" s="126"/>
      <c r="E109" s="126"/>
      <c r="F109" s="126"/>
      <c r="G109" s="126"/>
    </row>
    <row r="110" spans="3:7" s="46" customFormat="1" x14ac:dyDescent="0.2">
      <c r="C110" s="125"/>
      <c r="D110" s="126"/>
      <c r="E110" s="126"/>
      <c r="F110" s="126"/>
      <c r="G110" s="126"/>
    </row>
    <row r="111" spans="3:7" s="46" customFormat="1" x14ac:dyDescent="0.2">
      <c r="C111" s="125"/>
      <c r="D111" s="126"/>
      <c r="E111" s="126"/>
      <c r="F111" s="126"/>
      <c r="G111" s="126"/>
    </row>
    <row r="112" spans="3:7" s="46" customFormat="1" x14ac:dyDescent="0.2">
      <c r="C112" s="125"/>
      <c r="D112" s="126"/>
      <c r="E112" s="126"/>
      <c r="F112" s="126"/>
      <c r="G112" s="126"/>
    </row>
    <row r="113" spans="3:7" s="46" customFormat="1" x14ac:dyDescent="0.2">
      <c r="C113" s="125"/>
      <c r="D113" s="126"/>
      <c r="E113" s="126"/>
      <c r="F113" s="126"/>
      <c r="G113" s="126"/>
    </row>
    <row r="114" spans="3:7" s="46" customFormat="1" x14ac:dyDescent="0.2">
      <c r="C114" s="125"/>
      <c r="D114" s="126"/>
      <c r="E114" s="126"/>
      <c r="F114" s="126"/>
      <c r="G114" s="126"/>
    </row>
    <row r="115" spans="3:7" s="46" customFormat="1" x14ac:dyDescent="0.2">
      <c r="C115" s="125"/>
      <c r="D115" s="126"/>
      <c r="E115" s="126"/>
      <c r="F115" s="126"/>
      <c r="G115" s="126"/>
    </row>
    <row r="116" spans="3:7" s="46" customFormat="1" x14ac:dyDescent="0.2">
      <c r="C116" s="125"/>
      <c r="D116" s="126"/>
      <c r="E116" s="126"/>
      <c r="F116" s="126"/>
      <c r="G116" s="126"/>
    </row>
    <row r="117" spans="3:7" s="46" customFormat="1" x14ac:dyDescent="0.2">
      <c r="C117" s="125"/>
      <c r="D117" s="126"/>
      <c r="E117" s="126"/>
      <c r="F117" s="126"/>
      <c r="G117" s="126"/>
    </row>
    <row r="118" spans="3:7" s="46" customFormat="1" x14ac:dyDescent="0.2">
      <c r="C118" s="125"/>
      <c r="D118" s="126"/>
      <c r="E118" s="126"/>
      <c r="F118" s="126"/>
      <c r="G118" s="126"/>
    </row>
    <row r="119" spans="3:7" s="46" customFormat="1" x14ac:dyDescent="0.2">
      <c r="C119" s="125"/>
      <c r="D119" s="126"/>
      <c r="E119" s="126"/>
      <c r="F119" s="126"/>
      <c r="G119" s="126"/>
    </row>
    <row r="120" spans="3:7" s="46" customFormat="1" x14ac:dyDescent="0.2">
      <c r="C120" s="125"/>
      <c r="D120" s="126"/>
      <c r="E120" s="126"/>
      <c r="F120" s="126"/>
      <c r="G120" s="126"/>
    </row>
    <row r="121" spans="3:7" s="46" customFormat="1" x14ac:dyDescent="0.2">
      <c r="C121" s="125"/>
      <c r="D121" s="126"/>
      <c r="E121" s="126"/>
      <c r="F121" s="126"/>
      <c r="G121" s="126"/>
    </row>
    <row r="122" spans="3:7" s="46" customFormat="1" x14ac:dyDescent="0.2">
      <c r="C122" s="125"/>
      <c r="D122" s="126"/>
      <c r="E122" s="126"/>
      <c r="F122" s="126"/>
      <c r="G122" s="126"/>
    </row>
    <row r="123" spans="3:7" s="46" customFormat="1" x14ac:dyDescent="0.2">
      <c r="C123" s="125"/>
      <c r="D123" s="126"/>
      <c r="E123" s="126"/>
      <c r="F123" s="126"/>
      <c r="G123" s="126"/>
    </row>
    <row r="124" spans="3:7" s="46" customFormat="1" x14ac:dyDescent="0.2">
      <c r="C124" s="125"/>
      <c r="D124" s="126"/>
      <c r="E124" s="126"/>
      <c r="F124" s="126"/>
      <c r="G124" s="126"/>
    </row>
    <row r="125" spans="3:7" s="46" customFormat="1" x14ac:dyDescent="0.2">
      <c r="C125" s="125"/>
      <c r="D125" s="126"/>
      <c r="E125" s="126"/>
      <c r="F125" s="126"/>
      <c r="G125" s="126"/>
    </row>
    <row r="126" spans="3:7" s="46" customFormat="1" x14ac:dyDescent="0.2">
      <c r="C126" s="125"/>
      <c r="D126" s="126"/>
      <c r="E126" s="126"/>
      <c r="F126" s="126"/>
      <c r="G126" s="126"/>
    </row>
    <row r="127" spans="3:7" s="46" customFormat="1" x14ac:dyDescent="0.2">
      <c r="C127" s="125"/>
      <c r="D127" s="126"/>
      <c r="E127" s="126"/>
      <c r="F127" s="126"/>
      <c r="G127" s="126"/>
    </row>
    <row r="128" spans="3:7" s="46" customFormat="1" x14ac:dyDescent="0.2">
      <c r="C128" s="125"/>
      <c r="D128" s="126"/>
      <c r="E128" s="126"/>
      <c r="F128" s="126"/>
      <c r="G128" s="126"/>
    </row>
    <row r="129" spans="3:7" s="46" customFormat="1" x14ac:dyDescent="0.2">
      <c r="C129" s="125"/>
      <c r="D129" s="126"/>
      <c r="E129" s="126"/>
      <c r="F129" s="126"/>
      <c r="G129" s="126"/>
    </row>
    <row r="130" spans="3:7" s="46" customFormat="1" x14ac:dyDescent="0.2">
      <c r="C130" s="125"/>
      <c r="D130" s="126"/>
      <c r="E130" s="126"/>
      <c r="F130" s="126"/>
      <c r="G130" s="126"/>
    </row>
    <row r="131" spans="3:7" s="46" customFormat="1" x14ac:dyDescent="0.2">
      <c r="C131" s="125"/>
      <c r="D131" s="125"/>
      <c r="E131" s="126"/>
      <c r="F131" s="126"/>
      <c r="G131" s="126"/>
    </row>
    <row r="132" spans="3:7" s="46" customFormat="1" x14ac:dyDescent="0.2">
      <c r="C132" s="125"/>
      <c r="D132" s="126"/>
      <c r="E132" s="126"/>
      <c r="F132" s="126"/>
      <c r="G132" s="126"/>
    </row>
    <row r="133" spans="3:7" s="46" customFormat="1" x14ac:dyDescent="0.2">
      <c r="C133" s="125"/>
      <c r="D133" s="126"/>
      <c r="E133" s="126"/>
      <c r="F133" s="126"/>
      <c r="G133" s="126"/>
    </row>
    <row r="134" spans="3:7" s="46" customFormat="1" x14ac:dyDescent="0.2">
      <c r="C134" s="125"/>
      <c r="D134" s="126"/>
      <c r="E134" s="126"/>
      <c r="F134" s="126"/>
      <c r="G134" s="126"/>
    </row>
    <row r="135" spans="3:7" s="46" customFormat="1" x14ac:dyDescent="0.2">
      <c r="C135" s="125"/>
      <c r="D135" s="126"/>
      <c r="E135" s="126"/>
      <c r="F135" s="126"/>
      <c r="G135" s="126"/>
    </row>
    <row r="136" spans="3:7" s="46" customFormat="1" x14ac:dyDescent="0.2">
      <c r="C136" s="125"/>
      <c r="D136" s="125"/>
      <c r="E136" s="126"/>
      <c r="F136" s="126"/>
      <c r="G136" s="126"/>
    </row>
    <row r="137" spans="3:7" s="46" customFormat="1" x14ac:dyDescent="0.2">
      <c r="C137" s="125"/>
      <c r="D137" s="126"/>
      <c r="E137" s="126"/>
      <c r="F137" s="126"/>
      <c r="G137" s="126"/>
    </row>
    <row r="138" spans="3:7" s="46" customFormat="1" x14ac:dyDescent="0.2">
      <c r="C138" s="125"/>
      <c r="D138" s="126"/>
      <c r="E138" s="126"/>
      <c r="F138" s="126"/>
      <c r="G138" s="126"/>
    </row>
    <row r="139" spans="3:7" s="46" customFormat="1" x14ac:dyDescent="0.2">
      <c r="C139" s="125"/>
      <c r="D139" s="126"/>
      <c r="E139" s="126"/>
      <c r="F139" s="126"/>
      <c r="G139" s="126"/>
    </row>
    <row r="140" spans="3:7" s="46" customFormat="1" x14ac:dyDescent="0.2">
      <c r="C140" s="126"/>
      <c r="D140" s="126"/>
      <c r="E140" s="126"/>
      <c r="F140" s="126"/>
      <c r="G140" s="126"/>
    </row>
    <row r="141" spans="3:7" s="46" customFormat="1" x14ac:dyDescent="0.2">
      <c r="C141" s="126"/>
      <c r="D141" s="126"/>
      <c r="E141" s="126"/>
      <c r="F141" s="126"/>
      <c r="G141" s="126"/>
    </row>
    <row r="142" spans="3:7" s="46" customFormat="1" x14ac:dyDescent="0.2">
      <c r="C142" s="126"/>
      <c r="D142" s="126"/>
      <c r="E142" s="126"/>
      <c r="F142" s="126"/>
      <c r="G142" s="126"/>
    </row>
    <row r="143" spans="3:7" s="46" customFormat="1" x14ac:dyDescent="0.2">
      <c r="C143" s="126"/>
      <c r="D143" s="126"/>
      <c r="E143" s="126"/>
      <c r="F143" s="126"/>
      <c r="G143" s="126"/>
    </row>
    <row r="144" spans="3:7" s="46" customFormat="1" x14ac:dyDescent="0.2">
      <c r="C144" s="126"/>
      <c r="D144" s="126"/>
      <c r="E144" s="126"/>
      <c r="F144" s="126"/>
      <c r="G144" s="126"/>
    </row>
    <row r="145" spans="3:7" s="46" customFormat="1" x14ac:dyDescent="0.2">
      <c r="C145" s="126"/>
      <c r="D145" s="126"/>
      <c r="E145" s="126"/>
      <c r="F145" s="126"/>
      <c r="G145" s="126"/>
    </row>
    <row r="146" spans="3:7" s="46" customFormat="1" x14ac:dyDescent="0.2">
      <c r="C146" s="126"/>
      <c r="D146" s="126"/>
      <c r="E146" s="126"/>
      <c r="F146" s="126"/>
      <c r="G146" s="126"/>
    </row>
    <row r="147" spans="3:7" s="46" customFormat="1" x14ac:dyDescent="0.2">
      <c r="C147" s="126"/>
      <c r="D147" s="126"/>
      <c r="E147" s="126"/>
      <c r="F147" s="126"/>
      <c r="G147" s="126"/>
    </row>
    <row r="148" spans="3:7" s="46" customFormat="1" x14ac:dyDescent="0.2">
      <c r="C148" s="126"/>
      <c r="D148" s="126"/>
      <c r="E148" s="126"/>
      <c r="F148" s="126"/>
      <c r="G148" s="126"/>
    </row>
    <row r="149" spans="3:7" s="46" customFormat="1" x14ac:dyDescent="0.2">
      <c r="C149" s="126"/>
      <c r="D149" s="126"/>
      <c r="E149" s="126"/>
      <c r="F149" s="126"/>
      <c r="G149" s="126"/>
    </row>
    <row r="150" spans="3:7" s="46" customFormat="1" x14ac:dyDescent="0.2">
      <c r="C150" s="126"/>
      <c r="D150" s="126"/>
      <c r="E150" s="126"/>
      <c r="F150" s="126"/>
      <c r="G150" s="126"/>
    </row>
    <row r="151" spans="3:7" s="46" customFormat="1" x14ac:dyDescent="0.2">
      <c r="C151" s="126"/>
      <c r="D151" s="126"/>
      <c r="E151" s="126"/>
      <c r="F151" s="126"/>
      <c r="G151" s="126"/>
    </row>
    <row r="152" spans="3:7" s="46" customFormat="1" x14ac:dyDescent="0.2">
      <c r="C152" s="126"/>
      <c r="D152" s="126"/>
      <c r="E152" s="126"/>
      <c r="F152" s="126"/>
      <c r="G152" s="126"/>
    </row>
    <row r="153" spans="3:7" s="46" customFormat="1" x14ac:dyDescent="0.2">
      <c r="C153" s="126"/>
      <c r="D153" s="126"/>
      <c r="E153" s="126"/>
      <c r="F153" s="126"/>
      <c r="G153" s="126"/>
    </row>
    <row r="154" spans="3:7" s="46" customFormat="1" x14ac:dyDescent="0.2">
      <c r="C154" s="126"/>
      <c r="D154" s="126"/>
      <c r="E154" s="126"/>
      <c r="F154" s="126"/>
      <c r="G154" s="126"/>
    </row>
    <row r="155" spans="3:7" s="46" customFormat="1" x14ac:dyDescent="0.2">
      <c r="C155" s="126"/>
      <c r="D155" s="126"/>
      <c r="E155" s="126"/>
      <c r="F155" s="126"/>
      <c r="G155" s="126"/>
    </row>
    <row r="156" spans="3:7" s="46" customFormat="1" x14ac:dyDescent="0.2">
      <c r="C156" s="126"/>
      <c r="D156" s="126"/>
      <c r="E156" s="126"/>
      <c r="F156" s="126"/>
      <c r="G156" s="126"/>
    </row>
    <row r="157" spans="3:7" s="46" customFormat="1" x14ac:dyDescent="0.2">
      <c r="C157" s="126"/>
      <c r="D157" s="126"/>
      <c r="E157" s="126"/>
      <c r="F157" s="126"/>
      <c r="G157" s="126"/>
    </row>
    <row r="158" spans="3:7" s="46" customFormat="1" x14ac:dyDescent="0.2">
      <c r="C158" s="126"/>
      <c r="D158" s="126"/>
      <c r="E158" s="126"/>
      <c r="F158" s="126"/>
      <c r="G158" s="126"/>
    </row>
    <row r="159" spans="3:7" s="46" customFormat="1" x14ac:dyDescent="0.2">
      <c r="C159" s="126"/>
      <c r="D159" s="126"/>
      <c r="E159" s="126"/>
      <c r="F159" s="126"/>
      <c r="G159" s="126"/>
    </row>
    <row r="160" spans="3:7" s="46" customFormat="1" x14ac:dyDescent="0.2">
      <c r="C160" s="126"/>
      <c r="D160" s="126"/>
      <c r="E160" s="126"/>
      <c r="F160" s="126"/>
      <c r="G160" s="126"/>
    </row>
    <row r="161" spans="3:7" s="46" customFormat="1" x14ac:dyDescent="0.2">
      <c r="C161" s="126"/>
      <c r="D161" s="126"/>
      <c r="E161" s="126"/>
      <c r="F161" s="126"/>
      <c r="G161" s="126"/>
    </row>
    <row r="162" spans="3:7" s="46" customFormat="1" x14ac:dyDescent="0.2">
      <c r="C162" s="126"/>
      <c r="D162" s="126"/>
      <c r="E162" s="126"/>
      <c r="F162" s="126"/>
      <c r="G162" s="126"/>
    </row>
    <row r="163" spans="3:7" s="46" customFormat="1" x14ac:dyDescent="0.2">
      <c r="C163" s="126"/>
      <c r="D163" s="126"/>
      <c r="E163" s="126"/>
      <c r="F163" s="126"/>
      <c r="G163" s="126"/>
    </row>
    <row r="164" spans="3:7" s="46" customFormat="1" x14ac:dyDescent="0.2">
      <c r="C164" s="126"/>
      <c r="D164" s="126"/>
      <c r="E164" s="126"/>
      <c r="F164" s="126"/>
      <c r="G164" s="126"/>
    </row>
    <row r="165" spans="3:7" s="46" customFormat="1" x14ac:dyDescent="0.2">
      <c r="C165" s="126"/>
      <c r="D165" s="126"/>
      <c r="E165" s="126"/>
      <c r="F165" s="126"/>
      <c r="G165" s="126"/>
    </row>
    <row r="166" spans="3:7" s="46" customFormat="1" x14ac:dyDescent="0.2">
      <c r="C166" s="126"/>
      <c r="D166" s="126"/>
      <c r="E166" s="126"/>
      <c r="F166" s="126"/>
      <c r="G166" s="126"/>
    </row>
    <row r="167" spans="3:7" s="46" customFormat="1" x14ac:dyDescent="0.2">
      <c r="C167" s="126"/>
      <c r="D167" s="126"/>
      <c r="E167" s="126"/>
      <c r="F167" s="126"/>
      <c r="G167" s="126"/>
    </row>
    <row r="168" spans="3:7" s="46" customFormat="1" x14ac:dyDescent="0.2">
      <c r="C168" s="126"/>
      <c r="D168" s="126"/>
      <c r="E168" s="126"/>
      <c r="F168" s="126"/>
      <c r="G168" s="126"/>
    </row>
    <row r="169" spans="3:7" s="46" customFormat="1" x14ac:dyDescent="0.2">
      <c r="C169" s="126"/>
      <c r="D169" s="126"/>
      <c r="E169" s="126"/>
      <c r="F169" s="126"/>
      <c r="G169" s="126"/>
    </row>
    <row r="170" spans="3:7" s="46" customFormat="1" x14ac:dyDescent="0.2">
      <c r="C170" s="126"/>
      <c r="D170" s="126"/>
      <c r="E170" s="126"/>
      <c r="F170" s="126"/>
      <c r="G170" s="126"/>
    </row>
    <row r="171" spans="3:7" s="46" customFormat="1" x14ac:dyDescent="0.2">
      <c r="C171" s="126"/>
      <c r="D171" s="126"/>
      <c r="E171" s="126"/>
      <c r="F171" s="126"/>
      <c r="G171" s="126"/>
    </row>
    <row r="172" spans="3:7" s="46" customFormat="1" x14ac:dyDescent="0.2">
      <c r="C172" s="126"/>
      <c r="D172" s="126"/>
      <c r="E172" s="126"/>
      <c r="F172" s="126"/>
      <c r="G172" s="126"/>
    </row>
    <row r="173" spans="3:7" s="46" customFormat="1" x14ac:dyDescent="0.2">
      <c r="C173" s="126"/>
      <c r="D173" s="126"/>
      <c r="E173" s="126"/>
      <c r="F173" s="126"/>
      <c r="G173" s="126"/>
    </row>
    <row r="174" spans="3:7" s="46" customFormat="1" x14ac:dyDescent="0.2">
      <c r="C174" s="126"/>
      <c r="D174" s="126"/>
      <c r="E174" s="126"/>
      <c r="F174" s="126"/>
      <c r="G174" s="126"/>
    </row>
    <row r="175" spans="3:7" s="46" customFormat="1" x14ac:dyDescent="0.2">
      <c r="C175" s="126"/>
      <c r="D175" s="126"/>
      <c r="E175" s="126"/>
      <c r="F175" s="126"/>
      <c r="G175" s="126"/>
    </row>
    <row r="176" spans="3:7" s="46" customFormat="1" x14ac:dyDescent="0.2">
      <c r="C176" s="126"/>
      <c r="D176" s="126"/>
      <c r="E176" s="126"/>
      <c r="F176" s="126"/>
      <c r="G176" s="126"/>
    </row>
    <row r="177" spans="3:7" s="46" customFormat="1" x14ac:dyDescent="0.2">
      <c r="C177" s="126"/>
      <c r="D177" s="126"/>
      <c r="E177" s="126"/>
      <c r="F177" s="126"/>
      <c r="G177" s="126"/>
    </row>
    <row r="178" spans="3:7" s="46" customFormat="1" x14ac:dyDescent="0.2">
      <c r="C178" s="126"/>
      <c r="D178" s="126"/>
      <c r="E178" s="126"/>
      <c r="F178" s="126"/>
      <c r="G178" s="126"/>
    </row>
    <row r="179" spans="3:7" s="46" customFormat="1" x14ac:dyDescent="0.2">
      <c r="C179" s="126"/>
      <c r="D179" s="126"/>
      <c r="E179" s="126"/>
      <c r="F179" s="126"/>
      <c r="G179" s="126"/>
    </row>
    <row r="180" spans="3:7" s="46" customFormat="1" x14ac:dyDescent="0.2">
      <c r="C180" s="126"/>
      <c r="D180" s="126"/>
      <c r="E180" s="126"/>
      <c r="F180" s="126"/>
      <c r="G180" s="126"/>
    </row>
    <row r="181" spans="3:7" s="46" customFormat="1" x14ac:dyDescent="0.2">
      <c r="C181" s="126"/>
      <c r="D181" s="126"/>
      <c r="E181" s="126"/>
      <c r="F181" s="126"/>
      <c r="G181" s="126"/>
    </row>
    <row r="182" spans="3:7" s="46" customFormat="1" x14ac:dyDescent="0.2">
      <c r="C182" s="126"/>
      <c r="D182" s="126"/>
      <c r="E182" s="126"/>
      <c r="F182" s="126"/>
      <c r="G182" s="126"/>
    </row>
    <row r="183" spans="3:7" s="46" customFormat="1" x14ac:dyDescent="0.2">
      <c r="C183" s="126"/>
      <c r="D183" s="126"/>
      <c r="E183" s="126"/>
      <c r="F183" s="126"/>
      <c r="G183" s="126"/>
    </row>
    <row r="184" spans="3:7" s="46" customFormat="1" x14ac:dyDescent="0.2">
      <c r="C184" s="126"/>
      <c r="D184" s="126"/>
      <c r="E184" s="126"/>
      <c r="F184" s="126"/>
      <c r="G184" s="126"/>
    </row>
    <row r="185" spans="3:7" s="46" customFormat="1" x14ac:dyDescent="0.2">
      <c r="C185" s="126"/>
      <c r="D185" s="126"/>
      <c r="E185" s="126"/>
      <c r="F185" s="126"/>
      <c r="G185" s="126"/>
    </row>
    <row r="186" spans="3:7" s="46" customFormat="1" x14ac:dyDescent="0.2">
      <c r="C186" s="126"/>
      <c r="D186" s="126"/>
      <c r="E186" s="126"/>
      <c r="F186" s="126"/>
      <c r="G186" s="126"/>
    </row>
    <row r="187" spans="3:7" s="46" customFormat="1" x14ac:dyDescent="0.2">
      <c r="C187" s="126"/>
      <c r="D187" s="126"/>
      <c r="E187" s="126"/>
      <c r="F187" s="126"/>
      <c r="G187" s="126"/>
    </row>
    <row r="188" spans="3:7" s="46" customFormat="1" x14ac:dyDescent="0.2">
      <c r="C188" s="126"/>
      <c r="D188" s="126"/>
      <c r="E188" s="126"/>
      <c r="F188" s="126"/>
      <c r="G188" s="126"/>
    </row>
    <row r="189" spans="3:7" s="46" customFormat="1" x14ac:dyDescent="0.2">
      <c r="C189" s="126"/>
      <c r="D189" s="126"/>
      <c r="E189" s="126"/>
      <c r="F189" s="126"/>
      <c r="G189" s="126"/>
    </row>
    <row r="190" spans="3:7" s="46" customFormat="1" x14ac:dyDescent="0.2">
      <c r="C190" s="126"/>
      <c r="D190" s="126"/>
      <c r="E190" s="126"/>
      <c r="F190" s="126"/>
      <c r="G190" s="126"/>
    </row>
    <row r="191" spans="3:7" s="46" customFormat="1" x14ac:dyDescent="0.2">
      <c r="C191" s="126"/>
      <c r="D191" s="126"/>
      <c r="E191" s="126"/>
      <c r="F191" s="126"/>
      <c r="G191" s="126"/>
    </row>
    <row r="192" spans="3:7" s="46" customFormat="1" x14ac:dyDescent="0.2">
      <c r="C192" s="126"/>
      <c r="D192" s="126"/>
      <c r="E192" s="126"/>
      <c r="F192" s="126"/>
      <c r="G192" s="126"/>
    </row>
    <row r="193" spans="3:7" s="46" customFormat="1" x14ac:dyDescent="0.2">
      <c r="C193" s="126"/>
      <c r="D193" s="126"/>
      <c r="E193" s="126"/>
      <c r="F193" s="126"/>
      <c r="G193" s="126"/>
    </row>
    <row r="194" spans="3:7" s="46" customFormat="1" x14ac:dyDescent="0.2">
      <c r="C194" s="126"/>
      <c r="D194" s="126"/>
      <c r="E194" s="126"/>
      <c r="F194" s="126"/>
      <c r="G194" s="126"/>
    </row>
    <row r="195" spans="3:7" s="46" customFormat="1" x14ac:dyDescent="0.2">
      <c r="C195" s="126"/>
      <c r="D195" s="126"/>
      <c r="E195" s="126"/>
      <c r="F195" s="126"/>
      <c r="G195" s="126"/>
    </row>
    <row r="196" spans="3:7" s="46" customFormat="1" x14ac:dyDescent="0.2">
      <c r="C196" s="126"/>
      <c r="D196" s="126"/>
      <c r="E196" s="126"/>
      <c r="F196" s="126"/>
      <c r="G196" s="126"/>
    </row>
    <row r="197" spans="3:7" s="46" customFormat="1" x14ac:dyDescent="0.2">
      <c r="C197" s="126"/>
      <c r="D197" s="126"/>
      <c r="E197" s="126"/>
      <c r="F197" s="126"/>
      <c r="G197" s="126"/>
    </row>
    <row r="198" spans="3:7" s="46" customFormat="1" x14ac:dyDescent="0.2">
      <c r="C198" s="126"/>
      <c r="D198" s="126"/>
      <c r="E198" s="126"/>
      <c r="F198" s="126"/>
      <c r="G198" s="126"/>
    </row>
    <row r="199" spans="3:7" s="46" customFormat="1" x14ac:dyDescent="0.2">
      <c r="C199" s="126"/>
      <c r="D199" s="126"/>
      <c r="E199" s="126"/>
      <c r="F199" s="126"/>
      <c r="G199" s="126"/>
    </row>
    <row r="200" spans="3:7" s="46" customFormat="1" x14ac:dyDescent="0.2">
      <c r="C200" s="126"/>
      <c r="D200" s="126"/>
      <c r="E200" s="126"/>
      <c r="F200" s="126"/>
      <c r="G200" s="126"/>
    </row>
    <row r="201" spans="3:7" s="46" customFormat="1" x14ac:dyDescent="0.2">
      <c r="C201" s="126"/>
      <c r="D201" s="126"/>
      <c r="E201" s="126"/>
      <c r="F201" s="126"/>
      <c r="G201" s="126"/>
    </row>
    <row r="202" spans="3:7" s="46" customFormat="1" x14ac:dyDescent="0.2">
      <c r="C202" s="126"/>
      <c r="D202" s="126"/>
      <c r="E202" s="126"/>
      <c r="F202" s="126"/>
      <c r="G202" s="126"/>
    </row>
    <row r="203" spans="3:7" s="46" customFormat="1" x14ac:dyDescent="0.2">
      <c r="C203" s="126"/>
      <c r="D203" s="126"/>
      <c r="E203" s="126"/>
      <c r="F203" s="126"/>
      <c r="G203" s="126"/>
    </row>
    <row r="204" spans="3:7" s="46" customFormat="1" x14ac:dyDescent="0.2">
      <c r="C204" s="126"/>
      <c r="D204" s="126"/>
      <c r="E204" s="126"/>
      <c r="F204" s="126"/>
      <c r="G204" s="126"/>
    </row>
    <row r="205" spans="3:7" s="46" customFormat="1" x14ac:dyDescent="0.2">
      <c r="C205" s="126"/>
      <c r="D205" s="126"/>
      <c r="E205" s="126"/>
      <c r="F205" s="126"/>
      <c r="G205" s="126"/>
    </row>
    <row r="206" spans="3:7" s="46" customFormat="1" x14ac:dyDescent="0.2">
      <c r="C206" s="126"/>
      <c r="D206" s="126"/>
      <c r="E206" s="126"/>
      <c r="F206" s="126"/>
      <c r="G206" s="126"/>
    </row>
    <row r="207" spans="3:7" s="46" customFormat="1" x14ac:dyDescent="0.2">
      <c r="C207" s="126"/>
      <c r="D207" s="126"/>
      <c r="E207" s="126"/>
      <c r="F207" s="126"/>
      <c r="G207" s="126"/>
    </row>
    <row r="208" spans="3:7" s="46" customFormat="1" x14ac:dyDescent="0.2">
      <c r="C208" s="126"/>
      <c r="D208" s="126"/>
      <c r="E208" s="126"/>
      <c r="F208" s="126"/>
      <c r="G208" s="126"/>
    </row>
    <row r="209" spans="3:7" s="46" customFormat="1" x14ac:dyDescent="0.2">
      <c r="C209" s="126"/>
      <c r="D209" s="126"/>
      <c r="E209" s="126"/>
      <c r="F209" s="126"/>
      <c r="G209" s="126"/>
    </row>
    <row r="210" spans="3:7" s="46" customFormat="1" x14ac:dyDescent="0.2">
      <c r="C210" s="126"/>
      <c r="D210" s="126"/>
      <c r="E210" s="126"/>
      <c r="F210" s="126"/>
      <c r="G210" s="126"/>
    </row>
    <row r="211" spans="3:7" s="46" customFormat="1" x14ac:dyDescent="0.2">
      <c r="C211" s="126"/>
      <c r="D211" s="126"/>
      <c r="E211" s="126"/>
      <c r="F211" s="126"/>
      <c r="G211" s="126"/>
    </row>
    <row r="212" spans="3:7" s="46" customFormat="1" x14ac:dyDescent="0.2">
      <c r="C212" s="126"/>
      <c r="D212" s="126"/>
      <c r="E212" s="126"/>
      <c r="F212" s="126"/>
      <c r="G212" s="126"/>
    </row>
    <row r="213" spans="3:7" s="46" customFormat="1" x14ac:dyDescent="0.2">
      <c r="C213" s="126"/>
      <c r="D213" s="126"/>
      <c r="E213" s="126"/>
      <c r="F213" s="126"/>
      <c r="G213" s="126"/>
    </row>
    <row r="214" spans="3:7" s="46" customFormat="1" x14ac:dyDescent="0.2">
      <c r="C214" s="126"/>
      <c r="D214" s="126"/>
      <c r="E214" s="126"/>
      <c r="F214" s="126"/>
      <c r="G214" s="126"/>
    </row>
    <row r="215" spans="3:7" s="46" customFormat="1" x14ac:dyDescent="0.2">
      <c r="C215" s="126"/>
      <c r="D215" s="126"/>
      <c r="E215" s="126"/>
      <c r="F215" s="126"/>
      <c r="G215" s="126"/>
    </row>
    <row r="216" spans="3:7" s="46" customFormat="1" x14ac:dyDescent="0.2">
      <c r="C216" s="126"/>
      <c r="D216" s="126"/>
      <c r="E216" s="126"/>
      <c r="F216" s="126"/>
      <c r="G216" s="126"/>
    </row>
    <row r="217" spans="3:7" s="46" customFormat="1" x14ac:dyDescent="0.2">
      <c r="C217" s="126"/>
      <c r="D217" s="126"/>
      <c r="E217" s="126"/>
      <c r="F217" s="126"/>
      <c r="G217" s="126"/>
    </row>
    <row r="218" spans="3:7" s="46" customFormat="1" x14ac:dyDescent="0.2">
      <c r="C218" s="126"/>
      <c r="D218" s="126"/>
      <c r="E218" s="126"/>
      <c r="F218" s="126"/>
      <c r="G218" s="126"/>
    </row>
    <row r="219" spans="3:7" s="46" customFormat="1" x14ac:dyDescent="0.2">
      <c r="C219" s="126"/>
      <c r="D219" s="126"/>
      <c r="E219" s="126"/>
      <c r="F219" s="126"/>
      <c r="G219" s="126"/>
    </row>
    <row r="220" spans="3:7" s="46" customFormat="1" x14ac:dyDescent="0.2">
      <c r="C220" s="126"/>
      <c r="D220" s="126"/>
      <c r="E220" s="126"/>
      <c r="F220" s="126"/>
      <c r="G220" s="126"/>
    </row>
    <row r="221" spans="3:7" s="46" customFormat="1" x14ac:dyDescent="0.2">
      <c r="C221" s="126"/>
      <c r="D221" s="126"/>
      <c r="E221" s="126"/>
      <c r="F221" s="126"/>
      <c r="G221" s="126"/>
    </row>
    <row r="222" spans="3:7" s="46" customFormat="1" x14ac:dyDescent="0.2">
      <c r="C222" s="126"/>
      <c r="D222" s="126"/>
      <c r="E222" s="126"/>
      <c r="F222" s="126"/>
      <c r="G222" s="126"/>
    </row>
    <row r="223" spans="3:7" s="46" customFormat="1" x14ac:dyDescent="0.2">
      <c r="C223" s="126"/>
      <c r="D223" s="126"/>
      <c r="E223" s="126"/>
      <c r="F223" s="126"/>
      <c r="G223" s="126"/>
    </row>
    <row r="224" spans="3:7" s="46" customFormat="1" x14ac:dyDescent="0.2">
      <c r="C224" s="126"/>
      <c r="D224" s="126"/>
      <c r="E224" s="126"/>
      <c r="F224" s="126"/>
      <c r="G224" s="126"/>
    </row>
    <row r="225" spans="3:7" s="46" customFormat="1" x14ac:dyDescent="0.2">
      <c r="C225" s="126"/>
      <c r="D225" s="126"/>
      <c r="E225" s="126"/>
      <c r="F225" s="126"/>
      <c r="G225" s="126"/>
    </row>
    <row r="226" spans="3:7" s="46" customFormat="1" x14ac:dyDescent="0.2">
      <c r="C226" s="126"/>
      <c r="D226" s="126"/>
      <c r="E226" s="126"/>
      <c r="F226" s="126"/>
      <c r="G226" s="126"/>
    </row>
    <row r="227" spans="3:7" s="46" customFormat="1" x14ac:dyDescent="0.2">
      <c r="C227" s="126"/>
      <c r="D227" s="126"/>
      <c r="E227" s="126"/>
      <c r="F227" s="126"/>
      <c r="G227" s="126"/>
    </row>
    <row r="228" spans="3:7" s="46" customFormat="1" x14ac:dyDescent="0.2">
      <c r="C228" s="126"/>
      <c r="D228" s="126"/>
      <c r="E228" s="126"/>
      <c r="F228" s="126"/>
      <c r="G228" s="126"/>
    </row>
    <row r="229" spans="3:7" s="46" customFormat="1" x14ac:dyDescent="0.2">
      <c r="C229" s="126"/>
      <c r="D229" s="126"/>
      <c r="E229" s="126"/>
      <c r="F229" s="126"/>
      <c r="G229" s="126"/>
    </row>
    <row r="230" spans="3:7" s="46" customFormat="1" x14ac:dyDescent="0.2">
      <c r="C230" s="126"/>
      <c r="D230" s="126"/>
      <c r="E230" s="126"/>
      <c r="F230" s="126"/>
      <c r="G230" s="126"/>
    </row>
    <row r="231" spans="3:7" s="46" customFormat="1" x14ac:dyDescent="0.2">
      <c r="C231" s="126"/>
      <c r="D231" s="126"/>
      <c r="E231" s="126"/>
      <c r="F231" s="126"/>
      <c r="G231" s="126"/>
    </row>
    <row r="232" spans="3:7" s="46" customFormat="1" x14ac:dyDescent="0.2">
      <c r="C232" s="126"/>
      <c r="D232" s="126"/>
      <c r="E232" s="126"/>
      <c r="F232" s="126"/>
      <c r="G232" s="126"/>
    </row>
    <row r="233" spans="3:7" s="46" customFormat="1" x14ac:dyDescent="0.2">
      <c r="C233" s="126"/>
      <c r="D233" s="126"/>
      <c r="E233" s="126"/>
      <c r="F233" s="126"/>
      <c r="G233" s="126"/>
    </row>
    <row r="234" spans="3:7" s="46" customFormat="1" x14ac:dyDescent="0.2">
      <c r="C234" s="126"/>
      <c r="D234" s="126"/>
      <c r="E234" s="126"/>
      <c r="F234" s="126"/>
      <c r="G234" s="126"/>
    </row>
    <row r="235" spans="3:7" s="46" customFormat="1" x14ac:dyDescent="0.2">
      <c r="C235" s="126"/>
      <c r="D235" s="126"/>
      <c r="E235" s="126"/>
      <c r="F235" s="126"/>
      <c r="G235" s="126"/>
    </row>
    <row r="236" spans="3:7" s="46" customFormat="1" x14ac:dyDescent="0.2">
      <c r="C236" s="126"/>
      <c r="D236" s="126"/>
      <c r="E236" s="126"/>
      <c r="F236" s="126"/>
      <c r="G236" s="126"/>
    </row>
    <row r="237" spans="3:7" s="46" customFormat="1" x14ac:dyDescent="0.2">
      <c r="C237" s="126"/>
      <c r="D237" s="126"/>
      <c r="E237" s="126"/>
      <c r="F237" s="126"/>
      <c r="G237" s="126"/>
    </row>
    <row r="238" spans="3:7" s="46" customFormat="1" x14ac:dyDescent="0.2">
      <c r="C238" s="126"/>
      <c r="D238" s="126"/>
      <c r="E238" s="126"/>
      <c r="F238" s="126"/>
      <c r="G238" s="126"/>
    </row>
    <row r="239" spans="3:7" s="46" customFormat="1" x14ac:dyDescent="0.2">
      <c r="C239" s="126"/>
      <c r="D239" s="126"/>
      <c r="E239" s="126"/>
      <c r="F239" s="126"/>
      <c r="G239" s="126"/>
    </row>
    <row r="240" spans="3:7" s="46" customFormat="1" x14ac:dyDescent="0.2">
      <c r="C240" s="126"/>
      <c r="D240" s="126"/>
      <c r="E240" s="126"/>
      <c r="F240" s="126"/>
      <c r="G240" s="126"/>
    </row>
    <row r="241" spans="3:7" s="46" customFormat="1" x14ac:dyDescent="0.2">
      <c r="C241" s="126"/>
      <c r="D241" s="126"/>
      <c r="E241" s="126"/>
      <c r="F241" s="126"/>
      <c r="G241" s="126"/>
    </row>
    <row r="242" spans="3:7" s="46" customFormat="1" x14ac:dyDescent="0.2">
      <c r="C242" s="126"/>
      <c r="D242" s="126"/>
      <c r="E242" s="126"/>
      <c r="F242" s="126"/>
      <c r="G242" s="126"/>
    </row>
    <row r="243" spans="3:7" s="46" customFormat="1" x14ac:dyDescent="0.2">
      <c r="C243" s="126"/>
      <c r="D243" s="126"/>
      <c r="E243" s="126"/>
      <c r="F243" s="126"/>
      <c r="G243" s="126"/>
    </row>
    <row r="244" spans="3:7" s="46" customFormat="1" x14ac:dyDescent="0.2">
      <c r="C244" s="126"/>
      <c r="D244" s="126"/>
      <c r="E244" s="126"/>
      <c r="F244" s="126"/>
      <c r="G244" s="126"/>
    </row>
    <row r="245" spans="3:7" s="46" customFormat="1" x14ac:dyDescent="0.2">
      <c r="C245" s="126"/>
      <c r="D245" s="126"/>
      <c r="E245" s="126"/>
      <c r="F245" s="126"/>
      <c r="G245" s="126"/>
    </row>
    <row r="246" spans="3:7" s="46" customFormat="1" x14ac:dyDescent="0.2">
      <c r="C246" s="126"/>
      <c r="D246" s="126"/>
      <c r="E246" s="126"/>
      <c r="F246" s="126"/>
      <c r="G246" s="126"/>
    </row>
    <row r="247" spans="3:7" s="46" customFormat="1" x14ac:dyDescent="0.2">
      <c r="C247" s="126"/>
      <c r="D247" s="126"/>
      <c r="E247" s="126"/>
      <c r="F247" s="126"/>
      <c r="G247" s="126"/>
    </row>
    <row r="248" spans="3:7" s="46" customFormat="1" x14ac:dyDescent="0.2">
      <c r="C248" s="126"/>
      <c r="D248" s="126"/>
      <c r="E248" s="126"/>
      <c r="F248" s="126"/>
      <c r="G248" s="126"/>
    </row>
    <row r="249" spans="3:7" s="46" customFormat="1" x14ac:dyDescent="0.2">
      <c r="C249" s="126"/>
      <c r="D249" s="126"/>
      <c r="E249" s="126"/>
      <c r="F249" s="126"/>
      <c r="G249" s="126"/>
    </row>
    <row r="250" spans="3:7" s="46" customFormat="1" x14ac:dyDescent="0.2">
      <c r="C250" s="126"/>
      <c r="D250" s="126"/>
      <c r="E250" s="126"/>
      <c r="F250" s="126"/>
      <c r="G250" s="126"/>
    </row>
    <row r="251" spans="3:7" s="46" customFormat="1" x14ac:dyDescent="0.2">
      <c r="C251" s="126"/>
      <c r="D251" s="126"/>
      <c r="E251" s="126"/>
      <c r="F251" s="126"/>
      <c r="G251" s="126"/>
    </row>
    <row r="252" spans="3:7" s="46" customFormat="1" x14ac:dyDescent="0.2">
      <c r="C252" s="126"/>
      <c r="D252" s="126"/>
      <c r="E252" s="126"/>
      <c r="F252" s="126"/>
      <c r="G252" s="126"/>
    </row>
    <row r="253" spans="3:7" s="46" customFormat="1" x14ac:dyDescent="0.2">
      <c r="C253" s="126"/>
      <c r="D253" s="126"/>
      <c r="E253" s="126"/>
      <c r="F253" s="126"/>
      <c r="G253" s="126"/>
    </row>
    <row r="254" spans="3:7" s="46" customFormat="1" x14ac:dyDescent="0.2">
      <c r="C254" s="126"/>
      <c r="D254" s="126"/>
      <c r="E254" s="126"/>
      <c r="F254" s="126"/>
      <c r="G254" s="126"/>
    </row>
    <row r="255" spans="3:7" s="46" customFormat="1" x14ac:dyDescent="0.2">
      <c r="C255" s="126"/>
      <c r="D255" s="126"/>
      <c r="E255" s="126"/>
      <c r="F255" s="126"/>
      <c r="G255" s="126"/>
    </row>
    <row r="256" spans="3:7" s="46" customFormat="1" x14ac:dyDescent="0.2">
      <c r="C256" s="126"/>
      <c r="D256" s="126"/>
      <c r="E256" s="126"/>
      <c r="F256" s="126"/>
      <c r="G256" s="126"/>
    </row>
    <row r="257" spans="3:7" s="46" customFormat="1" x14ac:dyDescent="0.2">
      <c r="C257" s="126"/>
      <c r="D257" s="126"/>
      <c r="E257" s="126"/>
      <c r="F257" s="126"/>
      <c r="G257" s="126"/>
    </row>
    <row r="258" spans="3:7" s="46" customFormat="1" x14ac:dyDescent="0.2">
      <c r="C258" s="126"/>
      <c r="D258" s="126"/>
      <c r="E258" s="126"/>
      <c r="F258" s="126"/>
      <c r="G258" s="126"/>
    </row>
    <row r="259" spans="3:7" s="46" customFormat="1" x14ac:dyDescent="0.2">
      <c r="C259" s="126"/>
      <c r="D259" s="126"/>
      <c r="E259" s="126"/>
      <c r="F259" s="126"/>
      <c r="G259" s="126"/>
    </row>
    <row r="260" spans="3:7" s="46" customFormat="1" x14ac:dyDescent="0.2">
      <c r="C260" s="126"/>
      <c r="D260" s="126"/>
      <c r="E260" s="126"/>
      <c r="F260" s="126"/>
      <c r="G260" s="126"/>
    </row>
    <row r="261" spans="3:7" s="46" customFormat="1" x14ac:dyDescent="0.2">
      <c r="C261" s="126"/>
      <c r="D261" s="126"/>
      <c r="E261" s="126"/>
      <c r="F261" s="126"/>
      <c r="G261" s="126"/>
    </row>
    <row r="262" spans="3:7" s="46" customFormat="1" x14ac:dyDescent="0.2">
      <c r="C262" s="126"/>
      <c r="D262" s="126"/>
      <c r="E262" s="126"/>
      <c r="F262" s="126"/>
      <c r="G262" s="126"/>
    </row>
    <row r="263" spans="3:7" s="46" customFormat="1" x14ac:dyDescent="0.2">
      <c r="C263" s="126"/>
      <c r="D263" s="126"/>
      <c r="E263" s="126"/>
      <c r="F263" s="126"/>
      <c r="G263" s="126"/>
    </row>
    <row r="264" spans="3:7" s="46" customFormat="1" x14ac:dyDescent="0.2">
      <c r="C264" s="126"/>
      <c r="D264" s="126"/>
      <c r="E264" s="126"/>
      <c r="F264" s="126"/>
      <c r="G264" s="126"/>
    </row>
    <row r="265" spans="3:7" s="46" customFormat="1" x14ac:dyDescent="0.2">
      <c r="C265" s="126"/>
      <c r="D265" s="126"/>
      <c r="E265" s="126"/>
      <c r="F265" s="126"/>
      <c r="G265" s="126"/>
    </row>
    <row r="266" spans="3:7" s="46" customFormat="1" x14ac:dyDescent="0.2">
      <c r="C266" s="126"/>
      <c r="D266" s="126"/>
      <c r="E266" s="126"/>
      <c r="F266" s="126"/>
      <c r="G266" s="126"/>
    </row>
    <row r="267" spans="3:7" s="46" customFormat="1" x14ac:dyDescent="0.2">
      <c r="C267" s="126"/>
      <c r="D267" s="126"/>
      <c r="E267" s="126"/>
      <c r="F267" s="126"/>
      <c r="G267" s="126"/>
    </row>
    <row r="268" spans="3:7" s="46" customFormat="1" x14ac:dyDescent="0.2">
      <c r="C268" s="126"/>
      <c r="D268" s="126"/>
      <c r="E268" s="126"/>
      <c r="F268" s="126"/>
      <c r="G268" s="126"/>
    </row>
    <row r="269" spans="3:7" s="46" customFormat="1" x14ac:dyDescent="0.2">
      <c r="C269" s="126"/>
      <c r="D269" s="126"/>
      <c r="E269" s="126"/>
      <c r="F269" s="126"/>
      <c r="G269" s="126"/>
    </row>
    <row r="270" spans="3:7" s="46" customFormat="1" x14ac:dyDescent="0.2">
      <c r="C270" s="126"/>
      <c r="D270" s="126"/>
      <c r="E270" s="126"/>
      <c r="F270" s="126"/>
      <c r="G270" s="126"/>
    </row>
    <row r="271" spans="3:7" s="46" customFormat="1" x14ac:dyDescent="0.2">
      <c r="C271" s="126"/>
      <c r="D271" s="126"/>
      <c r="E271" s="126"/>
      <c r="F271" s="126"/>
      <c r="G271" s="126"/>
    </row>
    <row r="272" spans="3:7" s="46" customFormat="1" x14ac:dyDescent="0.2">
      <c r="C272" s="126"/>
      <c r="D272" s="126"/>
      <c r="E272" s="126"/>
      <c r="F272" s="126"/>
      <c r="G272" s="126"/>
    </row>
    <row r="273" spans="3:7" s="46" customFormat="1" x14ac:dyDescent="0.2">
      <c r="C273" s="126"/>
      <c r="D273" s="126"/>
      <c r="E273" s="126"/>
      <c r="F273" s="126"/>
      <c r="G273" s="126"/>
    </row>
    <row r="274" spans="3:7" s="46" customFormat="1" x14ac:dyDescent="0.2">
      <c r="C274" s="126"/>
      <c r="D274" s="126"/>
      <c r="E274" s="126"/>
      <c r="F274" s="126"/>
      <c r="G274" s="126"/>
    </row>
    <row r="275" spans="3:7" s="46" customFormat="1" x14ac:dyDescent="0.2">
      <c r="C275" s="126"/>
      <c r="D275" s="126"/>
      <c r="E275" s="126"/>
      <c r="F275" s="126"/>
      <c r="G275" s="126"/>
    </row>
    <row r="276" spans="3:7" s="46" customFormat="1" x14ac:dyDescent="0.2">
      <c r="C276" s="126"/>
      <c r="D276" s="126"/>
      <c r="E276" s="126"/>
      <c r="F276" s="126"/>
      <c r="G276" s="126"/>
    </row>
    <row r="277" spans="3:7" s="46" customFormat="1" x14ac:dyDescent="0.2">
      <c r="C277" s="126"/>
      <c r="D277" s="126"/>
      <c r="E277" s="126"/>
      <c r="F277" s="126"/>
      <c r="G277" s="126"/>
    </row>
    <row r="278" spans="3:7" s="46" customFormat="1" x14ac:dyDescent="0.2">
      <c r="C278" s="126"/>
      <c r="D278" s="126"/>
      <c r="E278" s="126"/>
      <c r="F278" s="126"/>
      <c r="G278" s="126"/>
    </row>
    <row r="279" spans="3:7" s="46" customFormat="1" x14ac:dyDescent="0.2">
      <c r="C279" s="126"/>
      <c r="D279" s="126"/>
      <c r="E279" s="126"/>
      <c r="F279" s="126"/>
      <c r="G279" s="126"/>
    </row>
    <row r="280" spans="3:7" s="46" customFormat="1" x14ac:dyDescent="0.2">
      <c r="C280" s="126"/>
      <c r="D280" s="126"/>
      <c r="E280" s="126"/>
      <c r="F280" s="126"/>
      <c r="G280" s="126"/>
    </row>
    <row r="281" spans="3:7" s="46" customFormat="1" x14ac:dyDescent="0.2">
      <c r="C281" s="126"/>
      <c r="D281" s="126"/>
      <c r="E281" s="126"/>
      <c r="F281" s="126"/>
      <c r="G281" s="126"/>
    </row>
    <row r="282" spans="3:7" s="46" customFormat="1" x14ac:dyDescent="0.2">
      <c r="C282" s="126"/>
      <c r="D282" s="126"/>
      <c r="E282" s="126"/>
      <c r="F282" s="126"/>
      <c r="G282" s="126"/>
    </row>
    <row r="283" spans="3:7" s="46" customFormat="1" x14ac:dyDescent="0.2">
      <c r="C283" s="126"/>
      <c r="D283" s="126"/>
      <c r="E283" s="126"/>
      <c r="F283" s="126"/>
      <c r="G283" s="126"/>
    </row>
    <row r="284" spans="3:7" s="46" customFormat="1" x14ac:dyDescent="0.2">
      <c r="C284" s="126"/>
      <c r="D284" s="126"/>
      <c r="E284" s="126"/>
      <c r="F284" s="126"/>
      <c r="G284" s="126"/>
    </row>
    <row r="285" spans="3:7" s="46" customFormat="1" x14ac:dyDescent="0.2">
      <c r="C285" s="126"/>
      <c r="D285" s="126"/>
      <c r="E285" s="126"/>
      <c r="F285" s="126"/>
      <c r="G285" s="126"/>
    </row>
    <row r="286" spans="3:7" s="46" customFormat="1" x14ac:dyDescent="0.2">
      <c r="C286" s="126"/>
      <c r="D286" s="126"/>
      <c r="E286" s="126"/>
      <c r="F286" s="126"/>
      <c r="G286" s="126"/>
    </row>
    <row r="287" spans="3:7" s="46" customFormat="1" x14ac:dyDescent="0.2">
      <c r="C287" s="126"/>
      <c r="D287" s="126"/>
      <c r="E287" s="126"/>
      <c r="F287" s="126"/>
      <c r="G287" s="126"/>
    </row>
    <row r="288" spans="3:7" s="46" customFormat="1" x14ac:dyDescent="0.2">
      <c r="C288" s="126"/>
      <c r="D288" s="126"/>
      <c r="E288" s="126"/>
      <c r="F288" s="126"/>
      <c r="G288" s="126"/>
    </row>
    <row r="289" spans="3:7" s="46" customFormat="1" x14ac:dyDescent="0.2">
      <c r="C289" s="126"/>
      <c r="D289" s="126"/>
      <c r="E289" s="126"/>
      <c r="F289" s="126"/>
      <c r="G289" s="126"/>
    </row>
    <row r="290" spans="3:7" s="46" customFormat="1" x14ac:dyDescent="0.2">
      <c r="C290" s="126"/>
      <c r="D290" s="126"/>
      <c r="E290" s="126"/>
      <c r="F290" s="126"/>
      <c r="G290" s="126"/>
    </row>
    <row r="291" spans="3:7" s="46" customFormat="1" x14ac:dyDescent="0.2">
      <c r="C291" s="126"/>
      <c r="D291" s="126"/>
      <c r="E291" s="126"/>
      <c r="F291" s="126"/>
      <c r="G291" s="126"/>
    </row>
    <row r="292" spans="3:7" s="46" customFormat="1" x14ac:dyDescent="0.2">
      <c r="C292" s="126"/>
      <c r="D292" s="126"/>
      <c r="E292" s="126"/>
      <c r="F292" s="126"/>
      <c r="G292" s="126"/>
    </row>
    <row r="293" spans="3:7" s="46" customFormat="1" x14ac:dyDescent="0.2">
      <c r="C293" s="126"/>
      <c r="D293" s="126"/>
      <c r="E293" s="126"/>
      <c r="F293" s="126"/>
      <c r="G293" s="126"/>
    </row>
    <row r="294" spans="3:7" s="46" customFormat="1" x14ac:dyDescent="0.2">
      <c r="C294" s="126"/>
      <c r="D294" s="126"/>
      <c r="E294" s="126"/>
      <c r="F294" s="126"/>
      <c r="G294" s="126"/>
    </row>
    <row r="295" spans="3:7" s="46" customFormat="1" x14ac:dyDescent="0.2">
      <c r="C295" s="126"/>
      <c r="D295" s="126"/>
      <c r="E295" s="126"/>
      <c r="F295" s="126"/>
      <c r="G295" s="126"/>
    </row>
    <row r="296" spans="3:7" s="46" customFormat="1" x14ac:dyDescent="0.2">
      <c r="C296" s="126"/>
      <c r="D296" s="126"/>
      <c r="E296" s="126"/>
      <c r="F296" s="126"/>
      <c r="G296" s="126"/>
    </row>
    <row r="297" spans="3:7" s="46" customFormat="1" x14ac:dyDescent="0.2">
      <c r="C297" s="126"/>
      <c r="D297" s="126"/>
      <c r="E297" s="126"/>
      <c r="F297" s="126"/>
      <c r="G297" s="126"/>
    </row>
    <row r="298" spans="3:7" s="46" customFormat="1" x14ac:dyDescent="0.2">
      <c r="C298" s="126"/>
      <c r="D298" s="126"/>
      <c r="E298" s="126"/>
      <c r="F298" s="126"/>
      <c r="G298" s="126"/>
    </row>
    <row r="299" spans="3:7" s="46" customFormat="1" x14ac:dyDescent="0.2">
      <c r="C299" s="126"/>
      <c r="D299" s="126"/>
      <c r="E299" s="126"/>
      <c r="F299" s="126"/>
      <c r="G299" s="126"/>
    </row>
    <row r="300" spans="3:7" s="46" customFormat="1" x14ac:dyDescent="0.2">
      <c r="C300" s="126"/>
      <c r="D300" s="126"/>
      <c r="E300" s="126"/>
      <c r="F300" s="126"/>
      <c r="G300" s="126"/>
    </row>
    <row r="301" spans="3:7" s="46" customFormat="1" x14ac:dyDescent="0.2">
      <c r="C301" s="126"/>
      <c r="D301" s="126"/>
      <c r="E301" s="126"/>
      <c r="F301" s="126"/>
      <c r="G301" s="126"/>
    </row>
    <row r="302" spans="3:7" s="46" customFormat="1" x14ac:dyDescent="0.2">
      <c r="C302" s="126"/>
      <c r="D302" s="126"/>
      <c r="E302" s="126"/>
      <c r="F302" s="126"/>
      <c r="G302" s="126"/>
    </row>
    <row r="303" spans="3:7" s="46" customFormat="1" x14ac:dyDescent="0.2">
      <c r="C303" s="126"/>
      <c r="D303" s="126"/>
      <c r="E303" s="126"/>
      <c r="F303" s="126"/>
      <c r="G303" s="126"/>
    </row>
    <row r="304" spans="3:7" s="46" customFormat="1" x14ac:dyDescent="0.2">
      <c r="C304" s="126"/>
      <c r="D304" s="126"/>
      <c r="E304" s="126"/>
      <c r="F304" s="126"/>
      <c r="G304" s="126"/>
    </row>
    <row r="305" spans="3:7" s="46" customFormat="1" x14ac:dyDescent="0.2">
      <c r="C305" s="126"/>
      <c r="D305" s="126"/>
      <c r="E305" s="126"/>
      <c r="F305" s="126"/>
      <c r="G305" s="126"/>
    </row>
    <row r="306" spans="3:7" s="46" customFormat="1" x14ac:dyDescent="0.2">
      <c r="C306" s="126"/>
      <c r="D306" s="126"/>
      <c r="E306" s="126"/>
      <c r="F306" s="126"/>
      <c r="G306" s="126"/>
    </row>
    <row r="307" spans="3:7" s="46" customFormat="1" x14ac:dyDescent="0.2">
      <c r="C307" s="126"/>
      <c r="D307" s="126"/>
      <c r="E307" s="126"/>
      <c r="F307" s="126"/>
      <c r="G307" s="126"/>
    </row>
    <row r="308" spans="3:7" s="46" customFormat="1" x14ac:dyDescent="0.2">
      <c r="C308" s="126"/>
      <c r="D308" s="126"/>
      <c r="E308" s="126"/>
      <c r="F308" s="126"/>
      <c r="G308" s="126"/>
    </row>
    <row r="309" spans="3:7" s="46" customFormat="1" x14ac:dyDescent="0.2">
      <c r="C309" s="126"/>
      <c r="D309" s="126"/>
      <c r="E309" s="126"/>
      <c r="F309" s="126"/>
      <c r="G309" s="126"/>
    </row>
    <row r="310" spans="3:7" s="46" customFormat="1" x14ac:dyDescent="0.2">
      <c r="C310" s="126"/>
      <c r="D310" s="126"/>
      <c r="E310" s="126"/>
      <c r="F310" s="126"/>
      <c r="G310" s="126"/>
    </row>
    <row r="311" spans="3:7" s="46" customFormat="1" x14ac:dyDescent="0.2">
      <c r="C311" s="126"/>
      <c r="D311" s="126"/>
      <c r="E311" s="126"/>
      <c r="F311" s="126"/>
      <c r="G311" s="126"/>
    </row>
    <row r="312" spans="3:7" s="46" customFormat="1" x14ac:dyDescent="0.2">
      <c r="C312" s="126"/>
      <c r="D312" s="126"/>
      <c r="E312" s="126"/>
      <c r="F312" s="126"/>
      <c r="G312" s="126"/>
    </row>
    <row r="313" spans="3:7" s="46" customFormat="1" x14ac:dyDescent="0.2">
      <c r="C313" s="126"/>
      <c r="D313" s="126"/>
      <c r="E313" s="126"/>
      <c r="F313" s="126"/>
      <c r="G313" s="126"/>
    </row>
    <row r="314" spans="3:7" s="46" customFormat="1" x14ac:dyDescent="0.2">
      <c r="C314" s="126"/>
      <c r="D314" s="126"/>
      <c r="E314" s="126"/>
      <c r="F314" s="126"/>
      <c r="G314" s="126"/>
    </row>
    <row r="315" spans="3:7" s="46" customFormat="1" x14ac:dyDescent="0.2">
      <c r="C315" s="126"/>
      <c r="D315" s="126"/>
      <c r="E315" s="126"/>
      <c r="F315" s="126"/>
      <c r="G315" s="126"/>
    </row>
    <row r="316" spans="3:7" s="46" customFormat="1" x14ac:dyDescent="0.2">
      <c r="C316" s="126"/>
      <c r="D316" s="126"/>
      <c r="E316" s="126"/>
      <c r="F316" s="126"/>
      <c r="G316" s="126"/>
    </row>
    <row r="317" spans="3:7" s="46" customFormat="1" x14ac:dyDescent="0.2">
      <c r="C317" s="126"/>
      <c r="D317" s="126"/>
      <c r="E317" s="126"/>
      <c r="F317" s="126"/>
      <c r="G317" s="126"/>
    </row>
    <row r="318" spans="3:7" s="46" customFormat="1" x14ac:dyDescent="0.2">
      <c r="C318" s="126"/>
      <c r="D318" s="126"/>
      <c r="E318" s="126"/>
      <c r="F318" s="126"/>
      <c r="G318" s="126"/>
    </row>
    <row r="319" spans="3:7" s="46" customFormat="1" x14ac:dyDescent="0.2">
      <c r="C319" s="126"/>
      <c r="D319" s="126"/>
      <c r="E319" s="126"/>
      <c r="F319" s="126"/>
      <c r="G319" s="126"/>
    </row>
    <row r="320" spans="3:7" s="46" customFormat="1" x14ac:dyDescent="0.2">
      <c r="C320" s="126"/>
      <c r="D320" s="126"/>
      <c r="E320" s="126"/>
      <c r="F320" s="126"/>
      <c r="G320" s="126"/>
    </row>
    <row r="321" spans="3:7" s="46" customFormat="1" x14ac:dyDescent="0.2">
      <c r="C321" s="126"/>
      <c r="D321" s="126"/>
      <c r="E321" s="126"/>
      <c r="F321" s="126"/>
      <c r="G321" s="126"/>
    </row>
    <row r="322" spans="3:7" s="46" customFormat="1" x14ac:dyDescent="0.2">
      <c r="C322" s="126"/>
      <c r="D322" s="126"/>
      <c r="E322" s="126"/>
      <c r="F322" s="126"/>
      <c r="G322" s="126"/>
    </row>
    <row r="323" spans="3:7" s="46" customFormat="1" x14ac:dyDescent="0.2">
      <c r="C323" s="126"/>
      <c r="D323" s="126"/>
      <c r="E323" s="126"/>
      <c r="F323" s="126"/>
      <c r="G323" s="126"/>
    </row>
    <row r="324" spans="3:7" s="46" customFormat="1" x14ac:dyDescent="0.2">
      <c r="C324" s="126"/>
      <c r="D324" s="126"/>
      <c r="E324" s="126"/>
      <c r="F324" s="126"/>
      <c r="G324" s="126"/>
    </row>
    <row r="325" spans="3:7" s="46" customFormat="1" x14ac:dyDescent="0.2">
      <c r="C325" s="126"/>
      <c r="D325" s="126"/>
      <c r="E325" s="126"/>
      <c r="F325" s="126"/>
      <c r="G325" s="126"/>
    </row>
    <row r="326" spans="3:7" s="46" customFormat="1" x14ac:dyDescent="0.2">
      <c r="C326" s="126"/>
      <c r="D326" s="126"/>
      <c r="E326" s="126"/>
      <c r="F326" s="126"/>
      <c r="G326" s="126"/>
    </row>
    <row r="327" spans="3:7" s="46" customFormat="1" x14ac:dyDescent="0.2">
      <c r="C327" s="126"/>
      <c r="D327" s="126"/>
      <c r="E327" s="126"/>
      <c r="F327" s="126"/>
      <c r="G327" s="126"/>
    </row>
    <row r="328" spans="3:7" s="46" customFormat="1" x14ac:dyDescent="0.2">
      <c r="C328" s="126"/>
      <c r="D328" s="126"/>
      <c r="E328" s="126"/>
      <c r="F328" s="126"/>
      <c r="G328" s="126"/>
    </row>
    <row r="329" spans="3:7" s="46" customFormat="1" x14ac:dyDescent="0.2">
      <c r="C329" s="126"/>
      <c r="D329" s="126"/>
      <c r="E329" s="126"/>
      <c r="F329" s="126"/>
      <c r="G329" s="126"/>
    </row>
    <row r="330" spans="3:7" s="46" customFormat="1" x14ac:dyDescent="0.2">
      <c r="C330" s="126"/>
      <c r="D330" s="126"/>
      <c r="E330" s="126"/>
      <c r="F330" s="126"/>
      <c r="G330" s="126"/>
    </row>
    <row r="331" spans="3:7" s="46" customFormat="1" x14ac:dyDescent="0.2">
      <c r="C331" s="126"/>
      <c r="D331" s="126"/>
      <c r="E331" s="126"/>
      <c r="F331" s="126"/>
      <c r="G331" s="126"/>
    </row>
    <row r="332" spans="3:7" s="46" customFormat="1" x14ac:dyDescent="0.2">
      <c r="C332" s="126"/>
      <c r="D332" s="126"/>
      <c r="E332" s="126"/>
      <c r="F332" s="126"/>
      <c r="G332" s="126"/>
    </row>
    <row r="333" spans="3:7" s="46" customFormat="1" x14ac:dyDescent="0.2">
      <c r="C333" s="126"/>
      <c r="D333" s="126"/>
      <c r="E333" s="126"/>
      <c r="F333" s="126"/>
      <c r="G333" s="126"/>
    </row>
    <row r="334" spans="3:7" s="46" customFormat="1" x14ac:dyDescent="0.2">
      <c r="C334" s="126"/>
      <c r="D334" s="126"/>
      <c r="E334" s="126"/>
      <c r="F334" s="126"/>
      <c r="G334" s="126"/>
    </row>
    <row r="335" spans="3:7" s="46" customFormat="1" x14ac:dyDescent="0.2">
      <c r="C335" s="126"/>
      <c r="D335" s="126"/>
      <c r="E335" s="126"/>
      <c r="F335" s="126"/>
      <c r="G335" s="126"/>
    </row>
    <row r="336" spans="3:7" s="46" customFormat="1" x14ac:dyDescent="0.2">
      <c r="C336" s="126"/>
      <c r="D336" s="126"/>
      <c r="E336" s="126"/>
      <c r="F336" s="126"/>
      <c r="G336" s="126"/>
    </row>
    <row r="337" spans="3:7" s="46" customFormat="1" x14ac:dyDescent="0.2">
      <c r="C337" s="126"/>
      <c r="D337" s="126"/>
      <c r="E337" s="126"/>
      <c r="F337" s="126"/>
      <c r="G337" s="126"/>
    </row>
    <row r="338" spans="3:7" s="46" customFormat="1" x14ac:dyDescent="0.2">
      <c r="C338" s="126"/>
      <c r="D338" s="126"/>
      <c r="E338" s="126"/>
      <c r="F338" s="126"/>
      <c r="G338" s="126"/>
    </row>
    <row r="339" spans="3:7" s="46" customFormat="1" x14ac:dyDescent="0.2">
      <c r="C339" s="126"/>
      <c r="D339" s="126"/>
      <c r="E339" s="126"/>
      <c r="F339" s="126"/>
      <c r="G339" s="126"/>
    </row>
    <row r="340" spans="3:7" s="46" customFormat="1" x14ac:dyDescent="0.2">
      <c r="C340" s="126"/>
      <c r="D340" s="126"/>
      <c r="E340" s="126"/>
      <c r="F340" s="126"/>
      <c r="G340" s="126"/>
    </row>
    <row r="341" spans="3:7" s="46" customFormat="1" x14ac:dyDescent="0.2">
      <c r="C341" s="126"/>
      <c r="D341" s="126"/>
      <c r="E341" s="126"/>
      <c r="F341" s="126"/>
      <c r="G341" s="126"/>
    </row>
    <row r="342" spans="3:7" s="46" customFormat="1" x14ac:dyDescent="0.2">
      <c r="C342" s="126"/>
      <c r="D342" s="126"/>
      <c r="E342" s="126"/>
      <c r="F342" s="126"/>
      <c r="G342" s="126"/>
    </row>
    <row r="343" spans="3:7" s="46" customFormat="1" x14ac:dyDescent="0.2">
      <c r="C343" s="126"/>
      <c r="D343" s="126"/>
      <c r="E343" s="126"/>
      <c r="F343" s="126"/>
      <c r="G343" s="126"/>
    </row>
    <row r="344" spans="3:7" s="46" customFormat="1" x14ac:dyDescent="0.2">
      <c r="C344" s="126"/>
      <c r="D344" s="126"/>
      <c r="E344" s="126"/>
      <c r="F344" s="126"/>
      <c r="G344" s="126"/>
    </row>
    <row r="345" spans="3:7" s="46" customFormat="1" x14ac:dyDescent="0.2">
      <c r="C345" s="126"/>
      <c r="D345" s="126"/>
      <c r="E345" s="126"/>
      <c r="F345" s="126"/>
      <c r="G345" s="126"/>
    </row>
    <row r="346" spans="3:7" s="46" customFormat="1" x14ac:dyDescent="0.2">
      <c r="C346" s="126"/>
      <c r="D346" s="126"/>
      <c r="E346" s="126"/>
      <c r="F346" s="126"/>
      <c r="G346" s="126"/>
    </row>
    <row r="347" spans="3:7" s="46" customFormat="1" x14ac:dyDescent="0.2">
      <c r="C347" s="126"/>
      <c r="D347" s="126"/>
      <c r="E347" s="126"/>
      <c r="F347" s="126"/>
      <c r="G347" s="126"/>
    </row>
    <row r="348" spans="3:7" s="46" customFormat="1" x14ac:dyDescent="0.2">
      <c r="C348" s="126"/>
      <c r="D348" s="126"/>
      <c r="E348" s="126"/>
      <c r="F348" s="126"/>
      <c r="G348" s="126"/>
    </row>
    <row r="349" spans="3:7" s="46" customFormat="1" x14ac:dyDescent="0.2">
      <c r="C349" s="126"/>
      <c r="D349" s="126"/>
      <c r="E349" s="126"/>
      <c r="F349" s="126"/>
      <c r="G349" s="126"/>
    </row>
    <row r="350" spans="3:7" s="46" customFormat="1" x14ac:dyDescent="0.2">
      <c r="C350" s="126"/>
      <c r="D350" s="126"/>
      <c r="E350" s="126"/>
      <c r="F350" s="126"/>
      <c r="G350" s="126"/>
    </row>
    <row r="351" spans="3:7" s="46" customFormat="1" x14ac:dyDescent="0.2">
      <c r="C351" s="126"/>
      <c r="D351" s="126"/>
      <c r="E351" s="126"/>
      <c r="F351" s="126"/>
      <c r="G351" s="126"/>
    </row>
    <row r="352" spans="3:7" s="46" customFormat="1" x14ac:dyDescent="0.2">
      <c r="C352" s="126"/>
      <c r="D352" s="126"/>
      <c r="E352" s="126"/>
      <c r="F352" s="126"/>
      <c r="G352" s="126"/>
    </row>
    <row r="353" spans="3:7" s="46" customFormat="1" x14ac:dyDescent="0.2">
      <c r="C353" s="126"/>
      <c r="D353" s="126"/>
      <c r="E353" s="126"/>
      <c r="F353" s="126"/>
      <c r="G353" s="126"/>
    </row>
    <row r="354" spans="3:7" s="46" customFormat="1" x14ac:dyDescent="0.2">
      <c r="C354" s="126"/>
      <c r="D354" s="126"/>
      <c r="E354" s="126"/>
      <c r="F354" s="126"/>
      <c r="G354" s="126"/>
    </row>
    <row r="355" spans="3:7" s="46" customFormat="1" x14ac:dyDescent="0.2">
      <c r="C355" s="126"/>
      <c r="D355" s="126"/>
      <c r="E355" s="126"/>
      <c r="F355" s="126"/>
      <c r="G355" s="126"/>
    </row>
    <row r="356" spans="3:7" s="46" customFormat="1" x14ac:dyDescent="0.2">
      <c r="C356" s="126"/>
      <c r="D356" s="126"/>
      <c r="E356" s="126"/>
      <c r="F356" s="126"/>
      <c r="G356" s="126"/>
    </row>
    <row r="357" spans="3:7" s="46" customFormat="1" x14ac:dyDescent="0.2">
      <c r="C357" s="126"/>
      <c r="D357" s="126"/>
      <c r="E357" s="126"/>
      <c r="F357" s="126"/>
      <c r="G357" s="126"/>
    </row>
    <row r="358" spans="3:7" s="46" customFormat="1" x14ac:dyDescent="0.2">
      <c r="C358" s="126"/>
      <c r="D358" s="126"/>
      <c r="E358" s="126"/>
      <c r="F358" s="126"/>
      <c r="G358" s="126"/>
    </row>
    <row r="359" spans="3:7" s="46" customFormat="1" x14ac:dyDescent="0.2">
      <c r="C359" s="126"/>
      <c r="D359" s="126"/>
      <c r="E359" s="126"/>
      <c r="F359" s="126"/>
      <c r="G359" s="126"/>
    </row>
    <row r="360" spans="3:7" s="46" customFormat="1" x14ac:dyDescent="0.2">
      <c r="C360" s="126"/>
      <c r="D360" s="126"/>
      <c r="E360" s="126"/>
      <c r="F360" s="126"/>
      <c r="G360" s="126"/>
    </row>
    <row r="361" spans="3:7" s="46" customFormat="1" x14ac:dyDescent="0.2">
      <c r="C361" s="126"/>
      <c r="D361" s="126"/>
      <c r="E361" s="126"/>
      <c r="F361" s="126"/>
      <c r="G361" s="126"/>
    </row>
    <row r="362" spans="3:7" s="46" customFormat="1" x14ac:dyDescent="0.2">
      <c r="C362" s="126"/>
      <c r="D362" s="126"/>
      <c r="E362" s="126"/>
      <c r="F362" s="126"/>
      <c r="G362" s="126"/>
    </row>
    <row r="363" spans="3:7" s="46" customFormat="1" x14ac:dyDescent="0.2">
      <c r="C363" s="126"/>
      <c r="D363" s="126"/>
      <c r="E363" s="126"/>
      <c r="F363" s="126"/>
      <c r="G363" s="126"/>
    </row>
    <row r="364" spans="3:7" s="46" customFormat="1" x14ac:dyDescent="0.2">
      <c r="C364" s="126"/>
      <c r="D364" s="126"/>
      <c r="E364" s="126"/>
      <c r="F364" s="126"/>
      <c r="G364" s="126"/>
    </row>
    <row r="365" spans="3:7" s="46" customFormat="1" x14ac:dyDescent="0.2">
      <c r="C365" s="126"/>
      <c r="D365" s="126"/>
      <c r="E365" s="126"/>
      <c r="F365" s="126"/>
      <c r="G365" s="126"/>
    </row>
    <row r="366" spans="3:7" s="46" customFormat="1" x14ac:dyDescent="0.2">
      <c r="C366" s="126"/>
      <c r="D366" s="126"/>
      <c r="E366" s="126"/>
      <c r="F366" s="126"/>
      <c r="G366" s="126"/>
    </row>
    <row r="367" spans="3:7" s="46" customFormat="1" x14ac:dyDescent="0.2">
      <c r="C367" s="126"/>
      <c r="D367" s="126"/>
      <c r="E367" s="126"/>
      <c r="F367" s="126"/>
      <c r="G367" s="126"/>
    </row>
    <row r="368" spans="3:7" s="46" customFormat="1" x14ac:dyDescent="0.2">
      <c r="C368" s="126"/>
      <c r="D368" s="126"/>
      <c r="E368" s="126"/>
      <c r="F368" s="126"/>
      <c r="G368" s="126"/>
    </row>
    <row r="369" spans="3:7" s="46" customFormat="1" x14ac:dyDescent="0.2">
      <c r="C369" s="126"/>
      <c r="D369" s="126"/>
      <c r="E369" s="126"/>
      <c r="F369" s="126"/>
      <c r="G369" s="126"/>
    </row>
    <row r="370" spans="3:7" s="46" customFormat="1" x14ac:dyDescent="0.2">
      <c r="C370" s="126"/>
      <c r="D370" s="126"/>
      <c r="E370" s="126"/>
      <c r="F370" s="126"/>
      <c r="G370" s="126"/>
    </row>
    <row r="371" spans="3:7" s="46" customFormat="1" x14ac:dyDescent="0.2">
      <c r="C371" s="126"/>
      <c r="D371" s="126"/>
      <c r="E371" s="126"/>
      <c r="F371" s="126"/>
      <c r="G371" s="126"/>
    </row>
    <row r="372" spans="3:7" s="46" customFormat="1" x14ac:dyDescent="0.2">
      <c r="C372" s="126"/>
      <c r="D372" s="126"/>
      <c r="E372" s="126"/>
      <c r="F372" s="126"/>
      <c r="G372" s="126"/>
    </row>
    <row r="373" spans="3:7" s="46" customFormat="1" x14ac:dyDescent="0.2">
      <c r="C373" s="126"/>
      <c r="D373" s="126"/>
      <c r="E373" s="126"/>
      <c r="F373" s="126"/>
      <c r="G373" s="126"/>
    </row>
    <row r="374" spans="3:7" s="46" customFormat="1" x14ac:dyDescent="0.2">
      <c r="C374" s="124"/>
      <c r="D374" s="124"/>
      <c r="E374" s="124"/>
      <c r="F374" s="124"/>
      <c r="G374" s="124"/>
    </row>
    <row r="375" spans="3:7" s="46" customFormat="1" x14ac:dyDescent="0.2">
      <c r="C375" s="124"/>
      <c r="D375" s="124"/>
      <c r="E375" s="124"/>
      <c r="F375" s="124"/>
      <c r="G375" s="124"/>
    </row>
    <row r="376" spans="3:7" s="46" customFormat="1" x14ac:dyDescent="0.2">
      <c r="C376" s="124"/>
      <c r="D376" s="124"/>
      <c r="E376" s="124"/>
      <c r="F376" s="124"/>
      <c r="G376" s="124"/>
    </row>
    <row r="377" spans="3:7" s="46" customFormat="1" x14ac:dyDescent="0.2">
      <c r="C377" s="124"/>
      <c r="D377" s="124"/>
      <c r="E377" s="124"/>
      <c r="F377" s="124"/>
      <c r="G377" s="124"/>
    </row>
    <row r="378" spans="3:7" s="46" customFormat="1" x14ac:dyDescent="0.2">
      <c r="C378" s="124"/>
      <c r="D378" s="124"/>
      <c r="E378" s="124"/>
      <c r="F378" s="124"/>
      <c r="G378" s="124"/>
    </row>
    <row r="379" spans="3:7" s="46" customFormat="1" x14ac:dyDescent="0.2">
      <c r="C379" s="124"/>
      <c r="D379" s="124"/>
      <c r="E379" s="124"/>
      <c r="F379" s="124"/>
      <c r="G379" s="124"/>
    </row>
    <row r="380" spans="3:7" s="46" customFormat="1" x14ac:dyDescent="0.2">
      <c r="C380" s="124"/>
      <c r="D380" s="124"/>
      <c r="E380" s="124"/>
      <c r="F380" s="124"/>
      <c r="G380" s="124"/>
    </row>
    <row r="381" spans="3:7" s="46" customFormat="1" x14ac:dyDescent="0.2">
      <c r="C381" s="124"/>
      <c r="D381" s="124"/>
      <c r="E381" s="124"/>
      <c r="F381" s="124"/>
      <c r="G381" s="124"/>
    </row>
    <row r="382" spans="3:7" s="46" customFormat="1" x14ac:dyDescent="0.2">
      <c r="C382" s="124"/>
      <c r="D382" s="124"/>
      <c r="E382" s="124"/>
      <c r="F382" s="124"/>
      <c r="G382" s="124"/>
    </row>
    <row r="383" spans="3:7" s="46" customFormat="1" x14ac:dyDescent="0.2">
      <c r="C383" s="124"/>
      <c r="D383" s="124"/>
      <c r="E383" s="124"/>
      <c r="F383" s="124"/>
      <c r="G383" s="124"/>
    </row>
    <row r="384" spans="3:7" s="46" customFormat="1" x14ac:dyDescent="0.2">
      <c r="C384" s="124"/>
      <c r="D384" s="124"/>
      <c r="E384" s="124"/>
      <c r="F384" s="124"/>
      <c r="G384" s="124"/>
    </row>
    <row r="385" spans="3:7" s="46" customFormat="1" x14ac:dyDescent="0.2">
      <c r="C385" s="124"/>
      <c r="D385" s="124"/>
      <c r="E385" s="124"/>
      <c r="F385" s="124"/>
      <c r="G385" s="124"/>
    </row>
    <row r="386" spans="3:7" s="46" customFormat="1" x14ac:dyDescent="0.2">
      <c r="C386" s="124"/>
      <c r="D386" s="124"/>
      <c r="E386" s="124"/>
      <c r="F386" s="124"/>
      <c r="G386" s="124"/>
    </row>
    <row r="387" spans="3:7" s="46" customFormat="1" x14ac:dyDescent="0.2">
      <c r="C387" s="124"/>
      <c r="D387" s="124"/>
      <c r="E387" s="124"/>
      <c r="F387" s="124"/>
      <c r="G387" s="124"/>
    </row>
    <row r="388" spans="3:7" s="46" customFormat="1" x14ac:dyDescent="0.2">
      <c r="C388" s="124"/>
      <c r="D388" s="124"/>
      <c r="E388" s="124"/>
      <c r="F388" s="124"/>
      <c r="G388" s="124"/>
    </row>
    <row r="389" spans="3:7" s="46" customFormat="1" x14ac:dyDescent="0.2">
      <c r="C389" s="124"/>
      <c r="D389" s="124"/>
      <c r="E389" s="124"/>
      <c r="F389" s="124"/>
      <c r="G389" s="124"/>
    </row>
    <row r="390" spans="3:7" s="46" customFormat="1" x14ac:dyDescent="0.2">
      <c r="C390" s="124"/>
      <c r="D390" s="124"/>
      <c r="E390" s="124"/>
      <c r="F390" s="124"/>
      <c r="G390" s="124"/>
    </row>
    <row r="391" spans="3:7" s="46" customFormat="1" x14ac:dyDescent="0.2">
      <c r="C391" s="124"/>
      <c r="D391" s="124"/>
      <c r="E391" s="124"/>
      <c r="F391" s="124"/>
      <c r="G391" s="124"/>
    </row>
    <row r="392" spans="3:7" s="46" customFormat="1" x14ac:dyDescent="0.2">
      <c r="C392" s="124"/>
      <c r="D392" s="124"/>
      <c r="E392" s="124"/>
      <c r="F392" s="124"/>
      <c r="G392" s="124"/>
    </row>
    <row r="393" spans="3:7" s="46" customFormat="1" x14ac:dyDescent="0.2">
      <c r="C393" s="124"/>
      <c r="D393" s="124"/>
      <c r="E393" s="124"/>
      <c r="F393" s="124"/>
      <c r="G393" s="124"/>
    </row>
    <row r="394" spans="3:7" s="46" customFormat="1" x14ac:dyDescent="0.2">
      <c r="C394" s="124"/>
      <c r="D394" s="124"/>
      <c r="E394" s="124"/>
      <c r="F394" s="124"/>
      <c r="G394" s="124"/>
    </row>
    <row r="395" spans="3:7" s="46" customFormat="1" x14ac:dyDescent="0.2">
      <c r="C395" s="124"/>
      <c r="D395" s="124"/>
      <c r="E395" s="124"/>
      <c r="F395" s="124"/>
      <c r="G395" s="124"/>
    </row>
    <row r="396" spans="3:7" s="46" customFormat="1" x14ac:dyDescent="0.2">
      <c r="C396" s="124"/>
      <c r="D396" s="124"/>
      <c r="E396" s="124"/>
      <c r="F396" s="124"/>
      <c r="G396" s="124"/>
    </row>
    <row r="397" spans="3:7" s="46" customFormat="1" x14ac:dyDescent="0.2">
      <c r="C397" s="124"/>
      <c r="D397" s="124"/>
      <c r="E397" s="124"/>
      <c r="F397" s="124"/>
      <c r="G397" s="124"/>
    </row>
    <row r="398" spans="3:7" s="46" customFormat="1" x14ac:dyDescent="0.2">
      <c r="C398" s="124"/>
      <c r="D398" s="124"/>
      <c r="E398" s="124"/>
      <c r="F398" s="124"/>
      <c r="G398" s="124"/>
    </row>
    <row r="399" spans="3:7" s="46" customFormat="1" x14ac:dyDescent="0.2">
      <c r="C399" s="124"/>
      <c r="D399" s="124"/>
      <c r="E399" s="124"/>
      <c r="F399" s="124"/>
      <c r="G399" s="124"/>
    </row>
    <row r="400" spans="3:7" s="46" customFormat="1" x14ac:dyDescent="0.2">
      <c r="C400" s="124"/>
      <c r="D400" s="124"/>
      <c r="E400" s="124"/>
      <c r="F400" s="124"/>
      <c r="G400" s="124"/>
    </row>
    <row r="401" spans="3:7" s="46" customFormat="1" x14ac:dyDescent="0.2">
      <c r="C401" s="124"/>
      <c r="D401" s="124"/>
      <c r="E401" s="124"/>
      <c r="F401" s="124"/>
      <c r="G401" s="124"/>
    </row>
    <row r="402" spans="3:7" s="46" customFormat="1" x14ac:dyDescent="0.2">
      <c r="C402" s="124"/>
      <c r="D402" s="124"/>
      <c r="E402" s="124"/>
      <c r="F402" s="124"/>
      <c r="G402" s="124"/>
    </row>
    <row r="403" spans="3:7" s="46" customFormat="1" x14ac:dyDescent="0.2">
      <c r="C403" s="124"/>
      <c r="D403" s="124"/>
      <c r="E403" s="124"/>
      <c r="F403" s="124"/>
      <c r="G403" s="124"/>
    </row>
    <row r="404" spans="3:7" s="46" customFormat="1" x14ac:dyDescent="0.2">
      <c r="C404" s="124"/>
      <c r="D404" s="124"/>
      <c r="E404" s="124"/>
      <c r="F404" s="124"/>
      <c r="G404" s="124"/>
    </row>
    <row r="405" spans="3:7" s="46" customFormat="1" x14ac:dyDescent="0.2">
      <c r="C405" s="124"/>
      <c r="D405" s="124"/>
      <c r="E405" s="124"/>
      <c r="F405" s="124"/>
      <c r="G405" s="124"/>
    </row>
    <row r="406" spans="3:7" s="46" customFormat="1" x14ac:dyDescent="0.2">
      <c r="C406" s="124"/>
      <c r="D406" s="124"/>
      <c r="E406" s="124"/>
      <c r="F406" s="124"/>
      <c r="G406" s="124"/>
    </row>
    <row r="407" spans="3:7" s="46" customFormat="1" x14ac:dyDescent="0.2">
      <c r="C407" s="124"/>
      <c r="D407" s="124"/>
      <c r="E407" s="124"/>
      <c r="F407" s="124"/>
      <c r="G407" s="124"/>
    </row>
    <row r="408" spans="3:7" s="46" customFormat="1" x14ac:dyDescent="0.2">
      <c r="C408" s="124"/>
      <c r="D408" s="124"/>
      <c r="E408" s="124"/>
      <c r="F408" s="124"/>
      <c r="G408" s="124"/>
    </row>
    <row r="409" spans="3:7" s="46" customFormat="1" x14ac:dyDescent="0.2">
      <c r="C409" s="124"/>
      <c r="D409" s="124"/>
      <c r="E409" s="124"/>
      <c r="F409" s="124"/>
      <c r="G409" s="124"/>
    </row>
    <row r="410" spans="3:7" s="46" customFormat="1" x14ac:dyDescent="0.2">
      <c r="C410" s="124"/>
      <c r="D410" s="124"/>
      <c r="E410" s="124"/>
      <c r="F410" s="124"/>
      <c r="G410" s="124"/>
    </row>
    <row r="411" spans="3:7" s="46" customFormat="1" x14ac:dyDescent="0.2">
      <c r="C411" s="124"/>
      <c r="D411" s="124"/>
      <c r="E411" s="124"/>
      <c r="F411" s="124"/>
      <c r="G411" s="124"/>
    </row>
    <row r="412" spans="3:7" s="46" customFormat="1" x14ac:dyDescent="0.2">
      <c r="C412" s="124"/>
      <c r="D412" s="124"/>
      <c r="E412" s="124"/>
      <c r="F412" s="124"/>
      <c r="G412" s="124"/>
    </row>
    <row r="413" spans="3:7" s="46" customFormat="1" x14ac:dyDescent="0.2">
      <c r="C413" s="124"/>
      <c r="D413" s="124"/>
      <c r="E413" s="124"/>
      <c r="F413" s="124"/>
      <c r="G413" s="124"/>
    </row>
    <row r="414" spans="3:7" s="46" customFormat="1" x14ac:dyDescent="0.2">
      <c r="C414" s="124"/>
      <c r="D414" s="124"/>
      <c r="E414" s="124"/>
      <c r="F414" s="124"/>
      <c r="G414" s="124"/>
    </row>
    <row r="415" spans="3:7" s="46" customFormat="1" x14ac:dyDescent="0.2">
      <c r="C415" s="124"/>
      <c r="D415" s="124"/>
      <c r="E415" s="124"/>
      <c r="F415" s="124"/>
      <c r="G415" s="124"/>
    </row>
    <row r="416" spans="3:7" s="46" customFormat="1" x14ac:dyDescent="0.2">
      <c r="C416" s="124"/>
      <c r="D416" s="124"/>
      <c r="E416" s="124"/>
      <c r="F416" s="124"/>
      <c r="G416" s="124"/>
    </row>
    <row r="417" spans="3:7" s="46" customFormat="1" x14ac:dyDescent="0.2">
      <c r="C417" s="124"/>
      <c r="D417" s="124"/>
      <c r="E417" s="124"/>
      <c r="F417" s="124"/>
      <c r="G417" s="124"/>
    </row>
    <row r="418" spans="3:7" s="46" customFormat="1" x14ac:dyDescent="0.2">
      <c r="C418" s="124"/>
      <c r="D418" s="124"/>
      <c r="E418" s="124"/>
      <c r="F418" s="124"/>
      <c r="G418" s="124"/>
    </row>
    <row r="419" spans="3:7" s="46" customFormat="1" x14ac:dyDescent="0.2">
      <c r="C419" s="124"/>
      <c r="D419" s="124"/>
      <c r="E419" s="124"/>
      <c r="F419" s="124"/>
      <c r="G419" s="124"/>
    </row>
    <row r="420" spans="3:7" s="46" customFormat="1" x14ac:dyDescent="0.2">
      <c r="C420" s="124"/>
      <c r="D420" s="124"/>
      <c r="E420" s="124"/>
      <c r="F420" s="124"/>
      <c r="G420" s="124"/>
    </row>
    <row r="421" spans="3:7" s="46" customFormat="1" x14ac:dyDescent="0.2">
      <c r="C421" s="124"/>
      <c r="D421" s="124"/>
      <c r="E421" s="124"/>
      <c r="F421" s="124"/>
      <c r="G421" s="124"/>
    </row>
    <row r="422" spans="3:7" s="46" customFormat="1" x14ac:dyDescent="0.2">
      <c r="C422" s="124"/>
      <c r="D422" s="124"/>
      <c r="E422" s="124"/>
      <c r="F422" s="124"/>
      <c r="G422" s="124"/>
    </row>
    <row r="423" spans="3:7" s="46" customFormat="1" x14ac:dyDescent="0.2">
      <c r="C423" s="124"/>
      <c r="D423" s="124"/>
      <c r="E423" s="124"/>
      <c r="F423" s="124"/>
      <c r="G423" s="124"/>
    </row>
    <row r="424" spans="3:7" s="46" customFormat="1" x14ac:dyDescent="0.2">
      <c r="C424" s="124"/>
      <c r="D424" s="124"/>
      <c r="E424" s="124"/>
      <c r="F424" s="124"/>
      <c r="G424" s="124"/>
    </row>
    <row r="425" spans="3:7" s="46" customFormat="1" x14ac:dyDescent="0.2">
      <c r="C425" s="124"/>
      <c r="D425" s="124"/>
      <c r="E425" s="124"/>
      <c r="F425" s="124"/>
      <c r="G425" s="124"/>
    </row>
    <row r="426" spans="3:7" s="46" customFormat="1" x14ac:dyDescent="0.2">
      <c r="C426" s="124"/>
      <c r="D426" s="124"/>
      <c r="E426" s="124"/>
      <c r="F426" s="124"/>
      <c r="G426" s="124"/>
    </row>
    <row r="427" spans="3:7" s="46" customFormat="1" x14ac:dyDescent="0.2">
      <c r="C427" s="124"/>
      <c r="D427" s="124"/>
      <c r="E427" s="124"/>
      <c r="F427" s="124"/>
      <c r="G427" s="124"/>
    </row>
    <row r="428" spans="3:7" s="46" customFormat="1" x14ac:dyDescent="0.2">
      <c r="C428" s="124"/>
      <c r="D428" s="124"/>
      <c r="E428" s="124"/>
      <c r="F428" s="124"/>
      <c r="G428" s="124"/>
    </row>
    <row r="429" spans="3:7" s="46" customFormat="1" x14ac:dyDescent="0.2">
      <c r="C429" s="124"/>
      <c r="D429" s="124"/>
      <c r="E429" s="124"/>
      <c r="F429" s="124"/>
      <c r="G429" s="124"/>
    </row>
    <row r="430" spans="3:7" s="46" customFormat="1" x14ac:dyDescent="0.2">
      <c r="C430" s="124"/>
      <c r="D430" s="124"/>
      <c r="E430" s="124"/>
      <c r="F430" s="124"/>
      <c r="G430" s="124"/>
    </row>
    <row r="431" spans="3:7" s="46" customFormat="1" x14ac:dyDescent="0.2">
      <c r="C431" s="124"/>
      <c r="D431" s="124"/>
      <c r="E431" s="124"/>
      <c r="F431" s="124"/>
      <c r="G431" s="124"/>
    </row>
    <row r="432" spans="3:7" s="46" customFormat="1" x14ac:dyDescent="0.2">
      <c r="C432" s="124"/>
      <c r="D432" s="124"/>
      <c r="E432" s="124"/>
      <c r="F432" s="124"/>
      <c r="G432" s="124"/>
    </row>
    <row r="433" spans="3:7" s="46" customFormat="1" x14ac:dyDescent="0.2">
      <c r="C433" s="124"/>
      <c r="D433" s="124"/>
      <c r="E433" s="124"/>
      <c r="F433" s="124"/>
      <c r="G433" s="124"/>
    </row>
    <row r="434" spans="3:7" s="46" customFormat="1" x14ac:dyDescent="0.2">
      <c r="C434" s="124"/>
      <c r="D434" s="124"/>
      <c r="E434" s="124"/>
      <c r="F434" s="124"/>
      <c r="G434" s="124"/>
    </row>
    <row r="435" spans="3:7" s="46" customFormat="1" x14ac:dyDescent="0.2">
      <c r="C435" s="124"/>
      <c r="D435" s="124"/>
      <c r="E435" s="124"/>
      <c r="F435" s="124"/>
      <c r="G435" s="124"/>
    </row>
    <row r="436" spans="3:7" s="46" customFormat="1" x14ac:dyDescent="0.2">
      <c r="C436" s="124"/>
      <c r="D436" s="124"/>
      <c r="E436" s="124"/>
      <c r="F436" s="124"/>
      <c r="G436" s="124"/>
    </row>
    <row r="437" spans="3:7" s="46" customFormat="1" x14ac:dyDescent="0.2">
      <c r="C437" s="124"/>
      <c r="D437" s="124"/>
      <c r="E437" s="124"/>
      <c r="F437" s="124"/>
      <c r="G437" s="124"/>
    </row>
    <row r="438" spans="3:7" s="46" customFormat="1" x14ac:dyDescent="0.2">
      <c r="C438" s="124"/>
      <c r="D438" s="124"/>
      <c r="E438" s="124"/>
      <c r="F438" s="124"/>
      <c r="G438" s="124"/>
    </row>
    <row r="439" spans="3:7" s="46" customFormat="1" x14ac:dyDescent="0.2">
      <c r="C439" s="124"/>
      <c r="D439" s="124"/>
      <c r="E439" s="124"/>
      <c r="F439" s="124"/>
      <c r="G439" s="124"/>
    </row>
    <row r="440" spans="3:7" s="46" customFormat="1" x14ac:dyDescent="0.2">
      <c r="C440" s="124"/>
      <c r="D440" s="124"/>
      <c r="E440" s="124"/>
      <c r="F440" s="124"/>
      <c r="G440" s="124"/>
    </row>
    <row r="441" spans="3:7" s="46" customFormat="1" x14ac:dyDescent="0.2">
      <c r="C441" s="124"/>
      <c r="D441" s="124"/>
      <c r="E441" s="124"/>
      <c r="F441" s="124"/>
      <c r="G441" s="124"/>
    </row>
    <row r="442" spans="3:7" s="46" customFormat="1" x14ac:dyDescent="0.2">
      <c r="C442" s="124"/>
      <c r="D442" s="124"/>
      <c r="E442" s="124"/>
      <c r="F442" s="124"/>
      <c r="G442" s="124"/>
    </row>
    <row r="443" spans="3:7" s="46" customFormat="1" x14ac:dyDescent="0.2">
      <c r="C443" s="124"/>
      <c r="D443" s="124"/>
      <c r="E443" s="124"/>
      <c r="F443" s="124"/>
      <c r="G443" s="124"/>
    </row>
    <row r="444" spans="3:7" s="46" customFormat="1" x14ac:dyDescent="0.2">
      <c r="C444" s="124"/>
      <c r="D444" s="124"/>
      <c r="E444" s="124"/>
      <c r="F444" s="124"/>
      <c r="G444" s="124"/>
    </row>
    <row r="445" spans="3:7" s="46" customFormat="1" x14ac:dyDescent="0.2">
      <c r="C445" s="124"/>
      <c r="D445" s="124"/>
      <c r="E445" s="124"/>
      <c r="F445" s="124"/>
      <c r="G445" s="124"/>
    </row>
    <row r="446" spans="3:7" s="46" customFormat="1" x14ac:dyDescent="0.2">
      <c r="C446" s="124"/>
      <c r="D446" s="124"/>
      <c r="E446" s="124"/>
      <c r="F446" s="124"/>
      <c r="G446" s="124"/>
    </row>
    <row r="447" spans="3:7" s="46" customFormat="1" x14ac:dyDescent="0.2">
      <c r="C447" s="124"/>
      <c r="D447" s="124"/>
      <c r="E447" s="124"/>
      <c r="F447" s="124"/>
      <c r="G447" s="124"/>
    </row>
    <row r="448" spans="3:7" s="46" customFormat="1" x14ac:dyDescent="0.2">
      <c r="C448" s="124"/>
      <c r="D448" s="124"/>
      <c r="E448" s="124"/>
      <c r="F448" s="124"/>
      <c r="G448" s="124"/>
    </row>
    <row r="449" spans="3:7" s="46" customFormat="1" x14ac:dyDescent="0.2">
      <c r="C449" s="124"/>
      <c r="D449" s="124"/>
      <c r="E449" s="124"/>
      <c r="F449" s="124"/>
      <c r="G449" s="124"/>
    </row>
    <row r="450" spans="3:7" s="46" customFormat="1" x14ac:dyDescent="0.2">
      <c r="C450" s="124"/>
      <c r="D450" s="124"/>
      <c r="E450" s="124"/>
      <c r="F450" s="124"/>
      <c r="G450" s="124"/>
    </row>
    <row r="451" spans="3:7" s="46" customFormat="1" x14ac:dyDescent="0.2">
      <c r="C451" s="124"/>
      <c r="D451" s="124"/>
      <c r="E451" s="124"/>
      <c r="F451" s="124"/>
      <c r="G451" s="124"/>
    </row>
    <row r="452" spans="3:7" s="46" customFormat="1" x14ac:dyDescent="0.2">
      <c r="C452" s="124"/>
      <c r="D452" s="124"/>
      <c r="E452" s="124"/>
      <c r="F452" s="124"/>
      <c r="G452" s="124"/>
    </row>
    <row r="453" spans="3:7" s="46" customFormat="1" x14ac:dyDescent="0.2">
      <c r="C453" s="124"/>
      <c r="D453" s="124"/>
      <c r="E453" s="124"/>
      <c r="F453" s="124"/>
      <c r="G453" s="124"/>
    </row>
    <row r="454" spans="3:7" s="46" customFormat="1" x14ac:dyDescent="0.2">
      <c r="C454" s="124"/>
      <c r="D454" s="124"/>
      <c r="E454" s="124"/>
      <c r="F454" s="124"/>
      <c r="G454" s="124"/>
    </row>
    <row r="455" spans="3:7" s="46" customFormat="1" x14ac:dyDescent="0.2">
      <c r="C455" s="124"/>
      <c r="D455" s="124"/>
      <c r="E455" s="124"/>
      <c r="F455" s="124"/>
      <c r="G455" s="124"/>
    </row>
    <row r="456" spans="3:7" s="46" customFormat="1" x14ac:dyDescent="0.2">
      <c r="C456" s="124"/>
      <c r="D456" s="124"/>
      <c r="E456" s="124"/>
      <c r="F456" s="124"/>
      <c r="G456" s="124"/>
    </row>
    <row r="457" spans="3:7" s="46" customFormat="1" x14ac:dyDescent="0.2">
      <c r="C457" s="124"/>
      <c r="D457" s="124"/>
      <c r="E457" s="124"/>
      <c r="F457" s="124"/>
      <c r="G457" s="124"/>
    </row>
    <row r="458" spans="3:7" s="46" customFormat="1" x14ac:dyDescent="0.2">
      <c r="C458" s="124"/>
      <c r="D458" s="124"/>
      <c r="E458" s="124"/>
      <c r="F458" s="124"/>
      <c r="G458" s="124"/>
    </row>
    <row r="459" spans="3:7" s="46" customFormat="1" x14ac:dyDescent="0.2">
      <c r="C459" s="124"/>
      <c r="D459" s="124"/>
      <c r="E459" s="124"/>
      <c r="F459" s="124"/>
      <c r="G459" s="124"/>
    </row>
    <row r="460" spans="3:7" s="46" customFormat="1" x14ac:dyDescent="0.2">
      <c r="C460" s="124"/>
      <c r="D460" s="124"/>
      <c r="E460" s="124"/>
      <c r="F460" s="124"/>
      <c r="G460" s="124"/>
    </row>
    <row r="461" spans="3:7" s="46" customFormat="1" x14ac:dyDescent="0.2">
      <c r="C461" s="124"/>
      <c r="D461" s="124"/>
      <c r="E461" s="124"/>
      <c r="F461" s="124"/>
      <c r="G461" s="124"/>
    </row>
    <row r="462" spans="3:7" s="46" customFormat="1" x14ac:dyDescent="0.2">
      <c r="C462" s="124"/>
      <c r="D462" s="124"/>
      <c r="E462" s="124"/>
      <c r="F462" s="124"/>
      <c r="G462" s="124"/>
    </row>
    <row r="463" spans="3:7" s="46" customFormat="1" x14ac:dyDescent="0.2">
      <c r="C463" s="124"/>
      <c r="D463" s="124"/>
      <c r="E463" s="124"/>
      <c r="F463" s="124"/>
      <c r="G463" s="124"/>
    </row>
    <row r="464" spans="3:7" s="46" customFormat="1" x14ac:dyDescent="0.2">
      <c r="C464" s="124"/>
      <c r="D464" s="124"/>
      <c r="E464" s="124"/>
      <c r="F464" s="124"/>
      <c r="G464" s="124"/>
    </row>
    <row r="465" spans="3:7" s="46" customFormat="1" x14ac:dyDescent="0.2">
      <c r="C465" s="124"/>
      <c r="D465" s="124"/>
      <c r="E465" s="124"/>
      <c r="F465" s="124"/>
      <c r="G465" s="124"/>
    </row>
    <row r="466" spans="3:7" s="46" customFormat="1" x14ac:dyDescent="0.2">
      <c r="C466" s="124"/>
      <c r="D466" s="124"/>
      <c r="E466" s="124"/>
      <c r="F466" s="124"/>
      <c r="G466" s="124"/>
    </row>
    <row r="467" spans="3:7" s="46" customFormat="1" x14ac:dyDescent="0.2">
      <c r="C467" s="124"/>
      <c r="D467" s="124"/>
      <c r="E467" s="124"/>
      <c r="F467" s="124"/>
      <c r="G467" s="124"/>
    </row>
    <row r="468" spans="3:7" s="46" customFormat="1" x14ac:dyDescent="0.2">
      <c r="C468" s="124"/>
      <c r="D468" s="124"/>
      <c r="E468" s="124"/>
      <c r="F468" s="124"/>
      <c r="G468" s="124"/>
    </row>
    <row r="469" spans="3:7" s="46" customFormat="1" x14ac:dyDescent="0.2">
      <c r="C469" s="124"/>
      <c r="D469" s="124"/>
      <c r="E469" s="124"/>
      <c r="F469" s="124"/>
      <c r="G469" s="124"/>
    </row>
    <row r="470" spans="3:7" s="46" customFormat="1" x14ac:dyDescent="0.2">
      <c r="C470" s="124"/>
      <c r="D470" s="124"/>
      <c r="E470" s="124"/>
      <c r="F470" s="124"/>
      <c r="G470" s="124"/>
    </row>
    <row r="471" spans="3:7" s="46" customFormat="1" x14ac:dyDescent="0.2">
      <c r="C471" s="124"/>
      <c r="D471" s="124"/>
      <c r="E471" s="124"/>
      <c r="F471" s="124"/>
      <c r="G471" s="124"/>
    </row>
    <row r="472" spans="3:7" s="46" customFormat="1" x14ac:dyDescent="0.2">
      <c r="C472" s="124"/>
      <c r="D472" s="124"/>
      <c r="E472" s="124"/>
      <c r="F472" s="124"/>
      <c r="G472" s="124"/>
    </row>
    <row r="473" spans="3:7" s="46" customFormat="1" x14ac:dyDescent="0.2">
      <c r="C473" s="124"/>
      <c r="D473" s="124"/>
      <c r="E473" s="124"/>
      <c r="F473" s="124"/>
      <c r="G473" s="124"/>
    </row>
    <row r="474" spans="3:7" s="46" customFormat="1" x14ac:dyDescent="0.2">
      <c r="C474" s="124"/>
      <c r="D474" s="124"/>
      <c r="E474" s="124"/>
      <c r="F474" s="124"/>
      <c r="G474" s="124"/>
    </row>
    <row r="475" spans="3:7" s="46" customFormat="1" x14ac:dyDescent="0.2">
      <c r="C475" s="124"/>
      <c r="D475" s="124"/>
      <c r="E475" s="124"/>
      <c r="F475" s="124"/>
      <c r="G475" s="124"/>
    </row>
    <row r="476" spans="3:7" s="46" customFormat="1" x14ac:dyDescent="0.2">
      <c r="C476" s="124"/>
      <c r="D476" s="124"/>
      <c r="E476" s="124"/>
      <c r="F476" s="124"/>
      <c r="G476" s="124"/>
    </row>
    <row r="477" spans="3:7" s="46" customFormat="1" x14ac:dyDescent="0.2">
      <c r="C477" s="124"/>
      <c r="D477" s="124"/>
      <c r="E477" s="124"/>
      <c r="F477" s="124"/>
      <c r="G477" s="124"/>
    </row>
    <row r="478" spans="3:7" s="46" customFormat="1" x14ac:dyDescent="0.2">
      <c r="C478" s="124"/>
      <c r="D478" s="124"/>
      <c r="E478" s="124"/>
      <c r="F478" s="124"/>
      <c r="G478" s="124"/>
    </row>
    <row r="479" spans="3:7" s="46" customFormat="1" x14ac:dyDescent="0.2">
      <c r="C479" s="124"/>
      <c r="D479" s="124"/>
      <c r="E479" s="124"/>
      <c r="F479" s="124"/>
      <c r="G479" s="124"/>
    </row>
    <row r="480" spans="3:7" s="46" customFormat="1" x14ac:dyDescent="0.2">
      <c r="C480" s="124"/>
      <c r="D480" s="124"/>
      <c r="E480" s="124"/>
      <c r="F480" s="124"/>
      <c r="G480" s="124"/>
    </row>
    <row r="481" spans="3:7" s="46" customFormat="1" x14ac:dyDescent="0.2">
      <c r="C481" s="124"/>
      <c r="D481" s="124"/>
      <c r="E481" s="124"/>
      <c r="F481" s="124"/>
      <c r="G481" s="124"/>
    </row>
    <row r="482" spans="3:7" s="46" customFormat="1" x14ac:dyDescent="0.2">
      <c r="C482" s="124"/>
      <c r="D482" s="124"/>
      <c r="E482" s="124"/>
      <c r="F482" s="124"/>
      <c r="G482" s="124"/>
    </row>
    <row r="483" spans="3:7" s="46" customFormat="1" x14ac:dyDescent="0.2">
      <c r="C483" s="124"/>
      <c r="D483" s="124"/>
      <c r="E483" s="124"/>
      <c r="F483" s="124"/>
      <c r="G483" s="124"/>
    </row>
    <row r="484" spans="3:7" s="46" customFormat="1" x14ac:dyDescent="0.2">
      <c r="C484" s="124"/>
      <c r="D484" s="124"/>
      <c r="E484" s="124"/>
      <c r="F484" s="124"/>
      <c r="G484" s="124"/>
    </row>
    <row r="485" spans="3:7" s="46" customFormat="1" x14ac:dyDescent="0.2">
      <c r="C485" s="124"/>
      <c r="D485" s="124"/>
      <c r="E485" s="124"/>
      <c r="F485" s="124"/>
      <c r="G485" s="124"/>
    </row>
    <row r="486" spans="3:7" s="46" customFormat="1" x14ac:dyDescent="0.2">
      <c r="C486" s="124"/>
      <c r="D486" s="124"/>
      <c r="E486" s="124"/>
      <c r="F486" s="124"/>
      <c r="G486" s="124"/>
    </row>
    <row r="487" spans="3:7" s="46" customFormat="1" x14ac:dyDescent="0.2">
      <c r="C487" s="124"/>
      <c r="D487" s="124"/>
      <c r="E487" s="124"/>
      <c r="F487" s="124"/>
      <c r="G487" s="124"/>
    </row>
    <row r="488" spans="3:7" s="46" customFormat="1" x14ac:dyDescent="0.2">
      <c r="C488" s="124"/>
      <c r="D488" s="124"/>
      <c r="E488" s="124"/>
      <c r="F488" s="124"/>
      <c r="G488" s="124"/>
    </row>
    <row r="489" spans="3:7" s="46" customFormat="1" x14ac:dyDescent="0.2">
      <c r="C489" s="124"/>
      <c r="D489" s="124"/>
      <c r="E489" s="124"/>
      <c r="F489" s="124"/>
      <c r="G489" s="124"/>
    </row>
    <row r="490" spans="3:7" s="46" customFormat="1" x14ac:dyDescent="0.2">
      <c r="C490" s="124"/>
      <c r="D490" s="124"/>
      <c r="E490" s="124"/>
      <c r="F490" s="124"/>
      <c r="G490" s="124"/>
    </row>
    <row r="491" spans="3:7" s="46" customFormat="1" x14ac:dyDescent="0.2">
      <c r="C491" s="124"/>
      <c r="D491" s="124"/>
      <c r="E491" s="124"/>
      <c r="F491" s="124"/>
      <c r="G491" s="124"/>
    </row>
    <row r="492" spans="3:7" s="46" customFormat="1" x14ac:dyDescent="0.2">
      <c r="C492" s="124"/>
      <c r="D492" s="124"/>
      <c r="E492" s="124"/>
      <c r="F492" s="124"/>
      <c r="G492" s="124"/>
    </row>
    <row r="493" spans="3:7" s="46" customFormat="1" x14ac:dyDescent="0.2">
      <c r="C493" s="124"/>
      <c r="D493" s="124"/>
      <c r="E493" s="124"/>
      <c r="F493" s="124"/>
      <c r="G493" s="124"/>
    </row>
    <row r="494" spans="3:7" s="46" customFormat="1" x14ac:dyDescent="0.2">
      <c r="C494" s="124"/>
      <c r="D494" s="124"/>
      <c r="E494" s="124"/>
      <c r="F494" s="124"/>
      <c r="G494" s="124"/>
    </row>
    <row r="495" spans="3:7" s="46" customFormat="1" x14ac:dyDescent="0.2">
      <c r="C495" s="124"/>
      <c r="D495" s="124"/>
      <c r="E495" s="124"/>
      <c r="F495" s="124"/>
      <c r="G495" s="124"/>
    </row>
    <row r="496" spans="3:7" s="46" customFormat="1" x14ac:dyDescent="0.2">
      <c r="C496" s="124"/>
      <c r="D496" s="124"/>
      <c r="E496" s="124"/>
      <c r="F496" s="124"/>
      <c r="G496" s="124"/>
    </row>
    <row r="497" spans="3:7" s="46" customFormat="1" x14ac:dyDescent="0.2">
      <c r="C497" s="124"/>
      <c r="D497" s="124"/>
      <c r="E497" s="124"/>
      <c r="F497" s="124"/>
      <c r="G497" s="124"/>
    </row>
    <row r="498" spans="3:7" s="46" customFormat="1" x14ac:dyDescent="0.2">
      <c r="C498" s="124"/>
      <c r="D498" s="124"/>
      <c r="E498" s="124"/>
      <c r="F498" s="124"/>
      <c r="G498" s="124"/>
    </row>
    <row r="499" spans="3:7" s="46" customFormat="1" x14ac:dyDescent="0.2">
      <c r="C499" s="124"/>
      <c r="D499" s="124"/>
      <c r="E499" s="124"/>
      <c r="F499" s="124"/>
      <c r="G499" s="124"/>
    </row>
    <row r="500" spans="3:7" s="46" customFormat="1" x14ac:dyDescent="0.2">
      <c r="C500" s="124"/>
      <c r="D500" s="124"/>
      <c r="E500" s="124"/>
      <c r="F500" s="124"/>
      <c r="G500" s="124"/>
    </row>
    <row r="501" spans="3:7" s="46" customFormat="1" x14ac:dyDescent="0.2">
      <c r="C501" s="124"/>
      <c r="D501" s="124"/>
      <c r="E501" s="124"/>
      <c r="F501" s="124"/>
      <c r="G501" s="124"/>
    </row>
    <row r="502" spans="3:7" s="46" customFormat="1" x14ac:dyDescent="0.2">
      <c r="C502" s="124"/>
      <c r="D502" s="124"/>
      <c r="E502" s="124"/>
      <c r="F502" s="124"/>
      <c r="G502" s="124"/>
    </row>
    <row r="503" spans="3:7" s="46" customFormat="1" x14ac:dyDescent="0.2">
      <c r="C503" s="124"/>
      <c r="D503" s="124"/>
      <c r="E503" s="124"/>
      <c r="F503" s="124"/>
      <c r="G503" s="124"/>
    </row>
    <row r="504" spans="3:7" s="46" customFormat="1" x14ac:dyDescent="0.2">
      <c r="C504" s="124"/>
      <c r="D504" s="124"/>
      <c r="E504" s="124"/>
      <c r="F504" s="124"/>
      <c r="G504" s="124"/>
    </row>
    <row r="505" spans="3:7" s="46" customFormat="1" x14ac:dyDescent="0.2">
      <c r="C505" s="124"/>
      <c r="D505" s="124"/>
      <c r="E505" s="124"/>
      <c r="F505" s="124"/>
      <c r="G505" s="124"/>
    </row>
    <row r="506" spans="3:7" s="46" customFormat="1" x14ac:dyDescent="0.2">
      <c r="C506" s="124"/>
      <c r="D506" s="124"/>
      <c r="E506" s="124"/>
      <c r="F506" s="124"/>
      <c r="G506" s="124"/>
    </row>
    <row r="507" spans="3:7" s="46" customFormat="1" x14ac:dyDescent="0.2">
      <c r="C507" s="124"/>
      <c r="D507" s="124"/>
      <c r="E507" s="124"/>
      <c r="F507" s="124"/>
      <c r="G507" s="124"/>
    </row>
    <row r="508" spans="3:7" s="46" customFormat="1" x14ac:dyDescent="0.2">
      <c r="C508" s="124"/>
      <c r="D508" s="124"/>
      <c r="E508" s="124"/>
      <c r="F508" s="124"/>
      <c r="G508" s="124"/>
    </row>
    <row r="509" spans="3:7" s="46" customFormat="1" x14ac:dyDescent="0.2">
      <c r="C509" s="124"/>
      <c r="D509" s="124"/>
      <c r="E509" s="124"/>
      <c r="F509" s="124"/>
      <c r="G509" s="124"/>
    </row>
    <row r="510" spans="3:7" s="46" customFormat="1" x14ac:dyDescent="0.2">
      <c r="C510" s="124"/>
      <c r="D510" s="124"/>
      <c r="E510" s="124"/>
      <c r="F510" s="124"/>
      <c r="G510" s="124"/>
    </row>
    <row r="511" spans="3:7" s="46" customFormat="1" x14ac:dyDescent="0.2">
      <c r="C511" s="124"/>
      <c r="D511" s="124"/>
      <c r="E511" s="124"/>
      <c r="F511" s="124"/>
      <c r="G511" s="124"/>
    </row>
    <row r="512" spans="3:7" s="46" customFormat="1" x14ac:dyDescent="0.2">
      <c r="C512" s="124"/>
      <c r="D512" s="124"/>
      <c r="E512" s="124"/>
      <c r="F512" s="124"/>
      <c r="G512" s="124"/>
    </row>
    <row r="513" spans="3:7" s="46" customFormat="1" x14ac:dyDescent="0.2">
      <c r="C513" s="124"/>
      <c r="D513" s="124"/>
      <c r="E513" s="124"/>
      <c r="F513" s="124"/>
      <c r="G513" s="124"/>
    </row>
    <row r="514" spans="3:7" s="46" customFormat="1" x14ac:dyDescent="0.2">
      <c r="C514" s="124"/>
      <c r="D514" s="124"/>
      <c r="E514" s="124"/>
      <c r="F514" s="124"/>
      <c r="G514" s="124"/>
    </row>
    <row r="515" spans="3:7" s="46" customFormat="1" x14ac:dyDescent="0.2">
      <c r="C515" s="124"/>
      <c r="D515" s="124"/>
      <c r="E515" s="124"/>
      <c r="F515" s="124"/>
      <c r="G515" s="124"/>
    </row>
    <row r="516" spans="3:7" s="46" customFormat="1" x14ac:dyDescent="0.2">
      <c r="C516" s="124"/>
      <c r="D516" s="124"/>
      <c r="E516" s="124"/>
      <c r="F516" s="124"/>
      <c r="G516" s="124"/>
    </row>
    <row r="517" spans="3:7" s="46" customFormat="1" x14ac:dyDescent="0.2">
      <c r="C517" s="124"/>
      <c r="D517" s="124"/>
      <c r="E517" s="124"/>
      <c r="F517" s="124"/>
      <c r="G517" s="124"/>
    </row>
    <row r="518" spans="3:7" s="46" customFormat="1" x14ac:dyDescent="0.2">
      <c r="C518" s="124"/>
      <c r="D518" s="124"/>
      <c r="E518" s="124"/>
      <c r="F518" s="124"/>
      <c r="G518" s="124"/>
    </row>
    <row r="519" spans="3:7" s="46" customFormat="1" x14ac:dyDescent="0.2">
      <c r="C519" s="124"/>
      <c r="D519" s="124"/>
      <c r="E519" s="124"/>
      <c r="F519" s="124"/>
      <c r="G519" s="124"/>
    </row>
    <row r="520" spans="3:7" s="46" customFormat="1" x14ac:dyDescent="0.2">
      <c r="C520" s="124"/>
      <c r="D520" s="124"/>
      <c r="E520" s="124"/>
      <c r="F520" s="124"/>
      <c r="G520" s="124"/>
    </row>
    <row r="521" spans="3:7" s="46" customFormat="1" x14ac:dyDescent="0.2">
      <c r="C521" s="124"/>
      <c r="D521" s="124"/>
      <c r="E521" s="124"/>
      <c r="F521" s="124"/>
      <c r="G521" s="124"/>
    </row>
    <row r="522" spans="3:7" s="46" customFormat="1" x14ac:dyDescent="0.2">
      <c r="C522" s="124"/>
      <c r="D522" s="124"/>
      <c r="E522" s="124"/>
      <c r="F522" s="124"/>
      <c r="G522" s="124"/>
    </row>
    <row r="523" spans="3:7" s="46" customFormat="1" x14ac:dyDescent="0.2">
      <c r="C523" s="124"/>
      <c r="D523" s="124"/>
      <c r="E523" s="124"/>
      <c r="F523" s="124"/>
      <c r="G523" s="124"/>
    </row>
    <row r="524" spans="3:7" s="46" customFormat="1" x14ac:dyDescent="0.2">
      <c r="C524" s="124"/>
      <c r="D524" s="124"/>
      <c r="E524" s="124"/>
      <c r="F524" s="124"/>
      <c r="G524" s="124"/>
    </row>
    <row r="525" spans="3:7" s="46" customFormat="1" x14ac:dyDescent="0.2">
      <c r="C525" s="124"/>
      <c r="D525" s="124"/>
      <c r="E525" s="124"/>
      <c r="F525" s="124"/>
      <c r="G525" s="124"/>
    </row>
    <row r="526" spans="3:7" s="46" customFormat="1" x14ac:dyDescent="0.2">
      <c r="C526" s="124"/>
      <c r="D526" s="124"/>
      <c r="E526" s="124"/>
      <c r="F526" s="124"/>
      <c r="G526" s="124"/>
    </row>
    <row r="527" spans="3:7" s="46" customFormat="1" x14ac:dyDescent="0.2">
      <c r="C527" s="124"/>
      <c r="D527" s="124"/>
      <c r="E527" s="124"/>
      <c r="F527" s="124"/>
      <c r="G527" s="124"/>
    </row>
    <row r="528" spans="3:7" s="46" customFormat="1" x14ac:dyDescent="0.2">
      <c r="C528" s="124"/>
      <c r="D528" s="124"/>
      <c r="E528" s="124"/>
      <c r="F528" s="124"/>
      <c r="G528" s="124"/>
    </row>
    <row r="529" spans="3:7" s="46" customFormat="1" x14ac:dyDescent="0.2">
      <c r="C529" s="124"/>
      <c r="D529" s="124"/>
      <c r="E529" s="124"/>
      <c r="F529" s="124"/>
      <c r="G529" s="124"/>
    </row>
    <row r="530" spans="3:7" s="46" customFormat="1" x14ac:dyDescent="0.2">
      <c r="C530" s="124"/>
      <c r="D530" s="124"/>
      <c r="E530" s="124"/>
      <c r="F530" s="124"/>
      <c r="G530" s="124"/>
    </row>
    <row r="531" spans="3:7" s="46" customFormat="1" x14ac:dyDescent="0.2">
      <c r="C531" s="124"/>
      <c r="D531" s="124"/>
      <c r="E531" s="124"/>
      <c r="F531" s="124"/>
      <c r="G531" s="124"/>
    </row>
    <row r="532" spans="3:7" s="46" customFormat="1" x14ac:dyDescent="0.2">
      <c r="C532" s="124"/>
      <c r="D532" s="124"/>
      <c r="E532" s="124"/>
      <c r="F532" s="124"/>
      <c r="G532" s="124"/>
    </row>
    <row r="533" spans="3:7" s="46" customFormat="1" x14ac:dyDescent="0.2">
      <c r="C533" s="124"/>
      <c r="D533" s="124"/>
      <c r="E533" s="124"/>
      <c r="F533" s="124"/>
      <c r="G533" s="124"/>
    </row>
    <row r="534" spans="3:7" s="46" customFormat="1" x14ac:dyDescent="0.2">
      <c r="C534" s="124"/>
      <c r="D534" s="124"/>
      <c r="E534" s="124"/>
      <c r="F534" s="124"/>
      <c r="G534" s="124"/>
    </row>
    <row r="535" spans="3:7" s="46" customFormat="1" x14ac:dyDescent="0.2">
      <c r="C535" s="124"/>
      <c r="D535" s="124"/>
      <c r="E535" s="124"/>
      <c r="F535" s="124"/>
      <c r="G535" s="124"/>
    </row>
    <row r="536" spans="3:7" s="46" customFormat="1" x14ac:dyDescent="0.2">
      <c r="C536" s="124"/>
      <c r="D536" s="124"/>
      <c r="E536" s="124"/>
      <c r="F536" s="124"/>
      <c r="G536" s="124"/>
    </row>
    <row r="537" spans="3:7" s="46" customFormat="1" x14ac:dyDescent="0.2">
      <c r="C537" s="124"/>
      <c r="D537" s="124"/>
      <c r="E537" s="124"/>
      <c r="F537" s="124"/>
      <c r="G537" s="124"/>
    </row>
    <row r="538" spans="3:7" s="46" customFormat="1" x14ac:dyDescent="0.2">
      <c r="C538" s="124"/>
      <c r="D538" s="124"/>
      <c r="E538" s="124"/>
      <c r="F538" s="124"/>
      <c r="G538" s="124"/>
    </row>
    <row r="539" spans="3:7" s="46" customFormat="1" x14ac:dyDescent="0.2">
      <c r="C539" s="124"/>
      <c r="D539" s="124"/>
      <c r="E539" s="124"/>
      <c r="F539" s="124"/>
      <c r="G539" s="124"/>
    </row>
    <row r="540" spans="3:7" s="46" customFormat="1" x14ac:dyDescent="0.2">
      <c r="C540" s="124"/>
      <c r="D540" s="124"/>
      <c r="E540" s="124"/>
      <c r="F540" s="124"/>
      <c r="G540" s="124"/>
    </row>
    <row r="541" spans="3:7" s="46" customFormat="1" x14ac:dyDescent="0.2">
      <c r="C541" s="124"/>
      <c r="D541" s="124"/>
      <c r="E541" s="124"/>
      <c r="F541" s="124"/>
      <c r="G541" s="124"/>
    </row>
    <row r="542" spans="3:7" s="46" customFormat="1" x14ac:dyDescent="0.2">
      <c r="C542" s="124"/>
      <c r="D542" s="124"/>
      <c r="E542" s="124"/>
      <c r="F542" s="124"/>
      <c r="G542" s="124"/>
    </row>
    <row r="543" spans="3:7" s="46" customFormat="1" x14ac:dyDescent="0.2">
      <c r="C543" s="124"/>
      <c r="D543" s="124"/>
      <c r="E543" s="124"/>
      <c r="F543" s="124"/>
      <c r="G543" s="124"/>
    </row>
    <row r="544" spans="3:7" s="46" customFormat="1" x14ac:dyDescent="0.2">
      <c r="C544" s="124"/>
      <c r="D544" s="124"/>
      <c r="E544" s="124"/>
      <c r="F544" s="124"/>
      <c r="G544" s="124"/>
    </row>
    <row r="545" spans="3:7" s="46" customFormat="1" x14ac:dyDescent="0.2">
      <c r="C545" s="124"/>
      <c r="D545" s="124"/>
      <c r="E545" s="124"/>
      <c r="F545" s="124"/>
      <c r="G545" s="124"/>
    </row>
    <row r="546" spans="3:7" s="46" customFormat="1" x14ac:dyDescent="0.2">
      <c r="C546" s="124"/>
      <c r="D546" s="124"/>
      <c r="E546" s="124"/>
      <c r="F546" s="124"/>
      <c r="G546" s="124"/>
    </row>
    <row r="547" spans="3:7" s="46" customFormat="1" x14ac:dyDescent="0.2">
      <c r="C547" s="124"/>
      <c r="D547" s="124"/>
      <c r="E547" s="124"/>
      <c r="F547" s="124"/>
      <c r="G547" s="124"/>
    </row>
    <row r="548" spans="3:7" s="46" customFormat="1" x14ac:dyDescent="0.2">
      <c r="C548" s="124"/>
      <c r="D548" s="124"/>
      <c r="E548" s="124"/>
      <c r="F548" s="124"/>
      <c r="G548" s="124"/>
    </row>
    <row r="549" spans="3:7" s="46" customFormat="1" x14ac:dyDescent="0.2">
      <c r="C549" s="124"/>
      <c r="D549" s="124"/>
      <c r="E549" s="124"/>
      <c r="F549" s="124"/>
      <c r="G549" s="124"/>
    </row>
    <row r="550" spans="3:7" s="46" customFormat="1" x14ac:dyDescent="0.2">
      <c r="C550" s="124"/>
      <c r="D550" s="124"/>
      <c r="E550" s="124"/>
      <c r="F550" s="124"/>
      <c r="G550" s="124"/>
    </row>
    <row r="551" spans="3:7" s="46" customFormat="1" x14ac:dyDescent="0.2">
      <c r="C551" s="124"/>
      <c r="D551" s="124"/>
      <c r="E551" s="124"/>
      <c r="F551" s="124"/>
      <c r="G551" s="124"/>
    </row>
    <row r="552" spans="3:7" s="46" customFormat="1" x14ac:dyDescent="0.2">
      <c r="C552" s="124"/>
      <c r="D552" s="124"/>
      <c r="E552" s="124"/>
      <c r="F552" s="124"/>
      <c r="G552" s="124"/>
    </row>
    <row r="553" spans="3:7" s="46" customFormat="1" x14ac:dyDescent="0.2">
      <c r="C553" s="124"/>
      <c r="D553" s="124"/>
      <c r="E553" s="124"/>
      <c r="F553" s="124"/>
      <c r="G553" s="124"/>
    </row>
    <row r="554" spans="3:7" s="46" customFormat="1" x14ac:dyDescent="0.2">
      <c r="C554" s="124"/>
      <c r="D554" s="124"/>
      <c r="E554" s="124"/>
      <c r="F554" s="124"/>
      <c r="G554" s="124"/>
    </row>
    <row r="555" spans="3:7" s="46" customFormat="1" x14ac:dyDescent="0.2">
      <c r="C555" s="124"/>
      <c r="D555" s="124"/>
      <c r="E555" s="124"/>
      <c r="F555" s="124"/>
      <c r="G555" s="124"/>
    </row>
    <row r="556" spans="3:7" s="46" customFormat="1" x14ac:dyDescent="0.2">
      <c r="C556" s="124"/>
      <c r="D556" s="124"/>
      <c r="E556" s="124"/>
      <c r="F556" s="124"/>
      <c r="G556" s="124"/>
    </row>
    <row r="557" spans="3:7" s="46" customFormat="1" x14ac:dyDescent="0.2">
      <c r="C557" s="124"/>
      <c r="D557" s="124"/>
      <c r="E557" s="124"/>
      <c r="F557" s="124"/>
      <c r="G557" s="124"/>
    </row>
    <row r="558" spans="3:7" s="46" customFormat="1" x14ac:dyDescent="0.2">
      <c r="C558" s="124"/>
      <c r="D558" s="124"/>
      <c r="E558" s="124"/>
      <c r="F558" s="124"/>
      <c r="G558" s="124"/>
    </row>
    <row r="559" spans="3:7" s="46" customFormat="1" x14ac:dyDescent="0.2">
      <c r="C559" s="124"/>
      <c r="D559" s="124"/>
      <c r="E559" s="124"/>
      <c r="F559" s="124"/>
      <c r="G559" s="124"/>
    </row>
    <row r="560" spans="3:7" s="46" customFormat="1" x14ac:dyDescent="0.2">
      <c r="C560" s="124"/>
      <c r="D560" s="124"/>
      <c r="E560" s="124"/>
      <c r="F560" s="124"/>
      <c r="G560" s="124"/>
    </row>
    <row r="561" spans="3:7" s="46" customFormat="1" x14ac:dyDescent="0.2">
      <c r="C561" s="124"/>
      <c r="D561" s="124"/>
      <c r="E561" s="124"/>
      <c r="F561" s="124"/>
      <c r="G561" s="124"/>
    </row>
    <row r="562" spans="3:7" s="46" customFormat="1" x14ac:dyDescent="0.2">
      <c r="C562" s="124"/>
      <c r="D562" s="124"/>
      <c r="E562" s="124"/>
      <c r="F562" s="124"/>
      <c r="G562" s="124"/>
    </row>
    <row r="563" spans="3:7" s="46" customFormat="1" x14ac:dyDescent="0.2">
      <c r="C563" s="124"/>
      <c r="D563" s="124"/>
      <c r="E563" s="124"/>
      <c r="F563" s="124"/>
      <c r="G563" s="124"/>
    </row>
    <row r="564" spans="3:7" s="46" customFormat="1" x14ac:dyDescent="0.2">
      <c r="C564" s="124"/>
      <c r="D564" s="124"/>
      <c r="E564" s="124"/>
      <c r="F564" s="124"/>
      <c r="G564" s="124"/>
    </row>
    <row r="565" spans="3:7" s="46" customFormat="1" x14ac:dyDescent="0.2">
      <c r="C565" s="124"/>
      <c r="D565" s="124"/>
      <c r="E565" s="124"/>
      <c r="F565" s="124"/>
      <c r="G565" s="124"/>
    </row>
    <row r="566" spans="3:7" s="46" customFormat="1" x14ac:dyDescent="0.2">
      <c r="C566" s="124"/>
      <c r="D566" s="124"/>
      <c r="E566" s="124"/>
      <c r="F566" s="124"/>
      <c r="G566" s="124"/>
    </row>
    <row r="567" spans="3:7" s="46" customFormat="1" x14ac:dyDescent="0.2">
      <c r="C567" s="124"/>
      <c r="D567" s="124"/>
      <c r="E567" s="124"/>
      <c r="F567" s="124"/>
      <c r="G567" s="124"/>
    </row>
    <row r="568" spans="3:7" s="46" customFormat="1" x14ac:dyDescent="0.2">
      <c r="C568" s="124"/>
      <c r="D568" s="124"/>
      <c r="E568" s="124"/>
      <c r="F568" s="124"/>
      <c r="G568" s="124"/>
    </row>
    <row r="569" spans="3:7" s="46" customFormat="1" x14ac:dyDescent="0.2">
      <c r="C569" s="124"/>
      <c r="D569" s="124"/>
      <c r="E569" s="124"/>
      <c r="F569" s="124"/>
      <c r="G569" s="124"/>
    </row>
    <row r="570" spans="3:7" s="46" customFormat="1" x14ac:dyDescent="0.2">
      <c r="C570" s="124"/>
      <c r="D570" s="124"/>
      <c r="E570" s="124"/>
      <c r="F570" s="124"/>
      <c r="G570" s="124"/>
    </row>
    <row r="571" spans="3:7" s="46" customFormat="1" x14ac:dyDescent="0.2">
      <c r="C571" s="124"/>
      <c r="D571" s="124"/>
      <c r="E571" s="124"/>
      <c r="F571" s="124"/>
      <c r="G571" s="124"/>
    </row>
    <row r="572" spans="3:7" s="46" customFormat="1" x14ac:dyDescent="0.2">
      <c r="C572" s="124"/>
      <c r="D572" s="124"/>
      <c r="E572" s="124"/>
      <c r="F572" s="124"/>
      <c r="G572" s="124"/>
    </row>
    <row r="573" spans="3:7" s="46" customFormat="1" x14ac:dyDescent="0.2">
      <c r="C573" s="124"/>
      <c r="D573" s="124"/>
      <c r="E573" s="124"/>
      <c r="F573" s="124"/>
      <c r="G573" s="124"/>
    </row>
    <row r="574" spans="3:7" s="46" customFormat="1" x14ac:dyDescent="0.2">
      <c r="C574" s="124"/>
      <c r="D574" s="124"/>
      <c r="E574" s="124"/>
      <c r="F574" s="124"/>
      <c r="G574" s="124"/>
    </row>
    <row r="575" spans="3:7" s="46" customFormat="1" x14ac:dyDescent="0.2">
      <c r="C575" s="124"/>
      <c r="D575" s="124"/>
      <c r="E575" s="124"/>
      <c r="F575" s="124"/>
      <c r="G575" s="124"/>
    </row>
    <row r="576" spans="3:7" s="46" customFormat="1" x14ac:dyDescent="0.2">
      <c r="C576" s="124"/>
      <c r="D576" s="124"/>
      <c r="E576" s="124"/>
      <c r="F576" s="124"/>
      <c r="G576" s="124"/>
    </row>
    <row r="577" spans="3:7" s="46" customFormat="1" x14ac:dyDescent="0.2">
      <c r="C577" s="124"/>
      <c r="D577" s="124"/>
      <c r="E577" s="124"/>
      <c r="F577" s="124"/>
      <c r="G577" s="124"/>
    </row>
    <row r="578" spans="3:7" s="46" customFormat="1" x14ac:dyDescent="0.2">
      <c r="C578" s="124"/>
      <c r="D578" s="124"/>
      <c r="E578" s="124"/>
      <c r="F578" s="124"/>
      <c r="G578" s="124"/>
    </row>
    <row r="579" spans="3:7" s="46" customFormat="1" x14ac:dyDescent="0.2">
      <c r="C579" s="124"/>
      <c r="D579" s="124"/>
      <c r="E579" s="124"/>
      <c r="F579" s="124"/>
      <c r="G579" s="124"/>
    </row>
    <row r="580" spans="3:7" s="46" customFormat="1" x14ac:dyDescent="0.2">
      <c r="C580" s="124"/>
      <c r="D580" s="124"/>
      <c r="E580" s="124"/>
      <c r="F580" s="124"/>
      <c r="G580" s="124"/>
    </row>
    <row r="581" spans="3:7" s="46" customFormat="1" x14ac:dyDescent="0.2"/>
    <row r="582" spans="3:7" s="46" customFormat="1" x14ac:dyDescent="0.2"/>
    <row r="583" spans="3:7" s="46" customFormat="1" x14ac:dyDescent="0.2"/>
    <row r="584" spans="3:7" s="46" customFormat="1" x14ac:dyDescent="0.2"/>
    <row r="585" spans="3:7" s="46" customFormat="1" x14ac:dyDescent="0.2"/>
    <row r="586" spans="3:7" s="46" customFormat="1" x14ac:dyDescent="0.2"/>
    <row r="587" spans="3:7" s="46" customFormat="1" x14ac:dyDescent="0.2"/>
    <row r="588" spans="3:7" s="46" customFormat="1" x14ac:dyDescent="0.2"/>
    <row r="589" spans="3:7" s="46" customFormat="1" x14ac:dyDescent="0.2"/>
    <row r="590" spans="3:7" s="46" customFormat="1" x14ac:dyDescent="0.2"/>
    <row r="591" spans="3:7" s="46" customFormat="1" x14ac:dyDescent="0.2"/>
    <row r="592" spans="3:7" s="46" customFormat="1" x14ac:dyDescent="0.2"/>
    <row r="593" s="46" customFormat="1" x14ac:dyDescent="0.2"/>
    <row r="594" s="46" customFormat="1" x14ac:dyDescent="0.2"/>
    <row r="595" s="46" customFormat="1" x14ac:dyDescent="0.2"/>
    <row r="596" s="46" customFormat="1" x14ac:dyDescent="0.2"/>
    <row r="597" s="46" customFormat="1" x14ac:dyDescent="0.2"/>
    <row r="598" s="46" customFormat="1" x14ac:dyDescent="0.2"/>
    <row r="599" s="46" customFormat="1" x14ac:dyDescent="0.2"/>
    <row r="600" s="46" customFormat="1" x14ac:dyDescent="0.2"/>
    <row r="601" s="46" customFormat="1" x14ac:dyDescent="0.2"/>
    <row r="602" s="46" customFormat="1" x14ac:dyDescent="0.2"/>
    <row r="603" s="46" customFormat="1" x14ac:dyDescent="0.2"/>
    <row r="604" s="46" customFormat="1" x14ac:dyDescent="0.2"/>
    <row r="605" s="46" customFormat="1" x14ac:dyDescent="0.2"/>
    <row r="606" s="46" customFormat="1" x14ac:dyDescent="0.2"/>
    <row r="607" s="46" customFormat="1" x14ac:dyDescent="0.2"/>
    <row r="608" s="46" customFormat="1" x14ac:dyDescent="0.2"/>
    <row r="609" s="46" customFormat="1" x14ac:dyDescent="0.2"/>
    <row r="610" s="46" customFormat="1" x14ac:dyDescent="0.2"/>
    <row r="611" s="46" customFormat="1" x14ac:dyDescent="0.2"/>
    <row r="612" s="46" customFormat="1" x14ac:dyDescent="0.2"/>
    <row r="613" s="46" customFormat="1" x14ac:dyDescent="0.2"/>
    <row r="614" s="46" customFormat="1" x14ac:dyDescent="0.2"/>
    <row r="615" s="46" customFormat="1" x14ac:dyDescent="0.2"/>
    <row r="616" s="46" customFormat="1" x14ac:dyDescent="0.2"/>
    <row r="617" s="46" customFormat="1" x14ac:dyDescent="0.2"/>
    <row r="618" s="46" customFormat="1" x14ac:dyDescent="0.2"/>
    <row r="619" s="46" customFormat="1" x14ac:dyDescent="0.2"/>
    <row r="620" s="46" customFormat="1" x14ac:dyDescent="0.2"/>
    <row r="621" s="46" customFormat="1" x14ac:dyDescent="0.2"/>
    <row r="622" s="46" customFormat="1" x14ac:dyDescent="0.2"/>
    <row r="623" s="46" customFormat="1" x14ac:dyDescent="0.2"/>
    <row r="624" s="46" customFormat="1" x14ac:dyDescent="0.2"/>
    <row r="625" s="46" customFormat="1" x14ac:dyDescent="0.2"/>
    <row r="626" s="46" customFormat="1" x14ac:dyDescent="0.2"/>
    <row r="627" s="46" customFormat="1" x14ac:dyDescent="0.2"/>
    <row r="628" s="46" customFormat="1" x14ac:dyDescent="0.2"/>
    <row r="629" s="46" customFormat="1" x14ac:dyDescent="0.2"/>
    <row r="630" s="46" customFormat="1" x14ac:dyDescent="0.2"/>
    <row r="631" s="46" customFormat="1" x14ac:dyDescent="0.2"/>
    <row r="632" s="46" customFormat="1" x14ac:dyDescent="0.2"/>
    <row r="633" s="46" customFormat="1" x14ac:dyDescent="0.2"/>
    <row r="634" s="46" customFormat="1" x14ac:dyDescent="0.2"/>
    <row r="635" s="46" customFormat="1" x14ac:dyDescent="0.2"/>
    <row r="636" s="46" customFormat="1" x14ac:dyDescent="0.2"/>
    <row r="637" s="46" customFormat="1" x14ac:dyDescent="0.2"/>
    <row r="638" s="46" customFormat="1" x14ac:dyDescent="0.2"/>
    <row r="639" s="46" customFormat="1" x14ac:dyDescent="0.2"/>
    <row r="640" s="46" customFormat="1" x14ac:dyDescent="0.2"/>
    <row r="641" s="46" customFormat="1" x14ac:dyDescent="0.2"/>
    <row r="642" s="46" customFormat="1" x14ac:dyDescent="0.2"/>
    <row r="643" s="46" customFormat="1" x14ac:dyDescent="0.2"/>
    <row r="644" s="46" customFormat="1" x14ac:dyDescent="0.2"/>
    <row r="645" s="46" customFormat="1" x14ac:dyDescent="0.2"/>
    <row r="646" s="46" customFormat="1" x14ac:dyDescent="0.2"/>
    <row r="647" s="46" customFormat="1" x14ac:dyDescent="0.2"/>
  </sheetData>
  <mergeCells count="75">
    <mergeCell ref="F11:G11"/>
    <mergeCell ref="D10:E10"/>
    <mergeCell ref="N11:O11"/>
    <mergeCell ref="F10:G10"/>
    <mergeCell ref="H10:I10"/>
    <mergeCell ref="J10:K10"/>
    <mergeCell ref="AX10:AY10"/>
    <mergeCell ref="AX9:AY9"/>
    <mergeCell ref="H9:I9"/>
    <mergeCell ref="AP9:AQ9"/>
    <mergeCell ref="J9:K9"/>
    <mergeCell ref="AR9:AS9"/>
    <mergeCell ref="P9:Q9"/>
    <mergeCell ref="N10:O10"/>
    <mergeCell ref="AV9:AW9"/>
    <mergeCell ref="X10:Y10"/>
    <mergeCell ref="AN9:AO9"/>
    <mergeCell ref="AD9:AE9"/>
    <mergeCell ref="P10:Q10"/>
    <mergeCell ref="R10:S10"/>
    <mergeCell ref="D77:E77"/>
    <mergeCell ref="T10:U10"/>
    <mergeCell ref="A7:B7"/>
    <mergeCell ref="V10:W10"/>
    <mergeCell ref="AV11:AW11"/>
    <mergeCell ref="D11:E11"/>
    <mergeCell ref="D76:E76"/>
    <mergeCell ref="AD10:AE10"/>
    <mergeCell ref="T9:U9"/>
    <mergeCell ref="V9:W9"/>
    <mergeCell ref="AB9:AC9"/>
    <mergeCell ref="AF9:AG9"/>
    <mergeCell ref="H11:I11"/>
    <mergeCell ref="AH9:AI9"/>
    <mergeCell ref="J11:K11"/>
    <mergeCell ref="L10:M10"/>
    <mergeCell ref="AX11:AY11"/>
    <mergeCell ref="AF10:AG10"/>
    <mergeCell ref="AH10:AI10"/>
    <mergeCell ref="P11:Q11"/>
    <mergeCell ref="AJ10:AK10"/>
    <mergeCell ref="AP10:AQ10"/>
    <mergeCell ref="AR10:AS10"/>
    <mergeCell ref="T11:U11"/>
    <mergeCell ref="V11:W11"/>
    <mergeCell ref="AB11:AC11"/>
    <mergeCell ref="AN11:AO11"/>
    <mergeCell ref="AD11:AE11"/>
    <mergeCell ref="AT10:AU10"/>
    <mergeCell ref="AF11:AG11"/>
    <mergeCell ref="AP11:AQ11"/>
    <mergeCell ref="AV10:AW10"/>
    <mergeCell ref="D9:E9"/>
    <mergeCell ref="F9:G9"/>
    <mergeCell ref="L9:M9"/>
    <mergeCell ref="AT9:AU9"/>
    <mergeCell ref="N9:O9"/>
    <mergeCell ref="R9:S9"/>
    <mergeCell ref="X9:Y9"/>
    <mergeCell ref="AJ9:AK9"/>
    <mergeCell ref="Z9:AA9"/>
    <mergeCell ref="AL9:AM9"/>
    <mergeCell ref="AR11:AS11"/>
    <mergeCell ref="Z10:AA10"/>
    <mergeCell ref="AT11:AU11"/>
    <mergeCell ref="AB10:AC10"/>
    <mergeCell ref="L11:M11"/>
    <mergeCell ref="AL10:AM10"/>
    <mergeCell ref="AN10:AO10"/>
    <mergeCell ref="R11:S11"/>
    <mergeCell ref="X11:Y11"/>
    <mergeCell ref="Z11:AA11"/>
    <mergeCell ref="AJ11:AK11"/>
    <mergeCell ref="AL11:AM11"/>
    <mergeCell ref="AH11:AI11"/>
  </mergeCells>
  <conditionalFormatting sqref="D25">
    <cfRule type="cellIs" dxfId="1" priority="25" operator="lessThan">
      <formula>19</formula>
    </cfRule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76:E77 C78 C79:E9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9:D91">
    <cfRule type="cellIs" dxfId="0" priority="21" operator="lessThan">
      <formula>19</formula>
    </cfRule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78:E78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0:E11 C12:C24 C25:AY2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:G1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1:I11 L11:M1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1:K11 N11:O1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1:Q11 T11:U1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1:S11 V11:W1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1:Y11 AB11:AC1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1:AA11 AD11:AE1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1:AG11 AJ11:AK1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11:AI11 AL11:AM1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1:AO11 AR11:AS1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11:AQ11 AT11:AU1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11:AW1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X11:AY1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AY24">
    <cfRule type="colorScale" priority="39">
      <colorScale>
        <cfvo type="num" val="1"/>
        <cfvo type="num" val="10"/>
        <cfvo type="num" val="19"/>
        <color rgb="FFDC1414"/>
        <color rgb="FFFFA500"/>
        <color rgb="FF00B450"/>
      </colorScale>
    </cfRule>
  </conditionalFormatting>
  <pageMargins left="0.25" right="0.25" top="0.75" bottom="0.75" header="0.3" footer="0.3"/>
  <pageSetup paperSize="8" scale="35" fitToWidth="0"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"/>
  <sheetViews>
    <sheetView workbookViewId="0">
      <selection activeCell="I32" sqref="I32"/>
    </sheetView>
  </sheetViews>
  <sheetFormatPr baseColWidth="10" defaultRowHeight="15" x14ac:dyDescent="0.25"/>
  <sheetData/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C3:M28"/>
  <sheetViews>
    <sheetView zoomScale="85" zoomScaleNormal="85" workbookViewId="0">
      <selection activeCell="L19" sqref="L19"/>
    </sheetView>
  </sheetViews>
  <sheetFormatPr baseColWidth="10" defaultRowHeight="15" x14ac:dyDescent="0.25"/>
  <cols>
    <col min="5" max="5" width="22" customWidth="1"/>
    <col min="6" max="6" width="19.28515625" customWidth="1"/>
    <col min="8" max="8" width="20.85546875" customWidth="1"/>
    <col min="9" max="9" width="28.42578125" customWidth="1"/>
    <col min="11" max="11" width="35.42578125" customWidth="1"/>
    <col min="12" max="12" width="31.42578125" customWidth="1"/>
  </cols>
  <sheetData>
    <row r="3" spans="3:13" ht="15.75" customHeight="1" thickBot="1" x14ac:dyDescent="0.3"/>
    <row r="4" spans="3:13" x14ac:dyDescent="0.25">
      <c r="C4" s="192" t="s">
        <v>141</v>
      </c>
      <c r="D4" s="84"/>
      <c r="E4" s="84"/>
      <c r="F4" s="84"/>
      <c r="G4" s="84"/>
      <c r="H4" s="84"/>
      <c r="I4" s="84"/>
      <c r="J4" s="84"/>
      <c r="K4" s="84"/>
      <c r="L4" s="84"/>
      <c r="M4" s="85"/>
    </row>
    <row r="5" spans="3:13" x14ac:dyDescent="0.25">
      <c r="C5" s="149"/>
      <c r="M5" s="25"/>
    </row>
    <row r="6" spans="3:13" ht="15.75" customHeight="1" thickBot="1" x14ac:dyDescent="0.3">
      <c r="C6" s="149"/>
      <c r="M6" s="25"/>
    </row>
    <row r="7" spans="3:13" ht="36.75" customHeight="1" thickBot="1" x14ac:dyDescent="0.3">
      <c r="C7" s="149"/>
      <c r="E7" s="86" t="s">
        <v>142</v>
      </c>
      <c r="F7" s="86" t="s">
        <v>142</v>
      </c>
      <c r="H7" s="87" t="s">
        <v>142</v>
      </c>
      <c r="I7" s="88" t="s">
        <v>142</v>
      </c>
      <c r="K7" s="86" t="s">
        <v>142</v>
      </c>
      <c r="L7" s="86" t="s">
        <v>142</v>
      </c>
      <c r="M7" s="25"/>
    </row>
    <row r="8" spans="3:13" ht="15.75" customHeight="1" thickBot="1" x14ac:dyDescent="0.3">
      <c r="C8" s="149"/>
      <c r="M8" s="25"/>
    </row>
    <row r="9" spans="3:13" ht="36.75" customHeight="1" thickBot="1" x14ac:dyDescent="0.3">
      <c r="C9" s="149"/>
      <c r="E9" s="86" t="s">
        <v>142</v>
      </c>
      <c r="F9" s="86" t="s">
        <v>142</v>
      </c>
      <c r="H9" s="86" t="s">
        <v>142</v>
      </c>
      <c r="I9" s="86" t="s">
        <v>142</v>
      </c>
      <c r="K9" s="86" t="s">
        <v>142</v>
      </c>
      <c r="L9" s="86" t="s">
        <v>142</v>
      </c>
      <c r="M9" s="25"/>
    </row>
    <row r="10" spans="3:13" ht="15.75" customHeight="1" thickBot="1" x14ac:dyDescent="0.3">
      <c r="C10" s="149"/>
      <c r="M10" s="25"/>
    </row>
    <row r="11" spans="3:13" ht="36.75" customHeight="1" thickBot="1" x14ac:dyDescent="0.3">
      <c r="C11" s="149"/>
      <c r="E11" s="86"/>
      <c r="F11" s="88" t="s">
        <v>142</v>
      </c>
      <c r="H11" s="86" t="s">
        <v>142</v>
      </c>
      <c r="I11" s="86" t="s">
        <v>142</v>
      </c>
      <c r="K11" s="89" t="s">
        <v>142</v>
      </c>
      <c r="L11" s="86" t="s">
        <v>142</v>
      </c>
      <c r="M11" s="25"/>
    </row>
    <row r="12" spans="3:13" ht="15.75" customHeight="1" thickBot="1" x14ac:dyDescent="0.3">
      <c r="C12" s="149"/>
      <c r="M12" s="25"/>
    </row>
    <row r="13" spans="3:13" ht="36.75" customHeight="1" thickBot="1" x14ac:dyDescent="0.3">
      <c r="C13" s="149"/>
      <c r="E13" s="86" t="s">
        <v>142</v>
      </c>
      <c r="F13" s="86" t="s">
        <v>142</v>
      </c>
      <c r="H13" s="86" t="s">
        <v>142</v>
      </c>
      <c r="I13" s="86" t="s">
        <v>142</v>
      </c>
      <c r="K13" s="86" t="s">
        <v>142</v>
      </c>
      <c r="L13" s="90" t="s">
        <v>142</v>
      </c>
      <c r="M13" s="25"/>
    </row>
    <row r="14" spans="3:13" ht="15.75" customHeight="1" thickBot="1" x14ac:dyDescent="0.3">
      <c r="C14" s="149"/>
      <c r="M14" s="25"/>
    </row>
    <row r="15" spans="3:13" ht="21" customHeight="1" thickBot="1" x14ac:dyDescent="0.3">
      <c r="C15" s="149"/>
      <c r="K15" s="196" t="s">
        <v>143</v>
      </c>
      <c r="L15" s="197"/>
      <c r="M15" s="25"/>
    </row>
    <row r="16" spans="3:13" ht="15.75" customHeight="1" thickBot="1" x14ac:dyDescent="0.3">
      <c r="C16" s="150"/>
      <c r="K16" s="193" t="s">
        <v>144</v>
      </c>
      <c r="M16" s="25"/>
    </row>
    <row r="17" spans="3:13" x14ac:dyDescent="0.25">
      <c r="C17" s="24"/>
      <c r="K17" s="194"/>
      <c r="M17" s="25"/>
    </row>
    <row r="18" spans="3:13" x14ac:dyDescent="0.25">
      <c r="C18" s="24"/>
      <c r="K18" s="194"/>
      <c r="M18" s="25"/>
    </row>
    <row r="19" spans="3:13" x14ac:dyDescent="0.25">
      <c r="C19" s="24"/>
      <c r="K19" s="194"/>
      <c r="M19" s="25"/>
    </row>
    <row r="20" spans="3:13" ht="15.75" customHeight="1" thickBot="1" x14ac:dyDescent="0.3">
      <c r="C20" s="24"/>
      <c r="K20" s="195"/>
      <c r="M20" s="25"/>
    </row>
    <row r="21" spans="3:13" x14ac:dyDescent="0.25">
      <c r="C21" s="24"/>
      <c r="M21" s="25"/>
    </row>
    <row r="22" spans="3:13" x14ac:dyDescent="0.25">
      <c r="C22" s="24"/>
      <c r="M22" s="25"/>
    </row>
    <row r="23" spans="3:13" x14ac:dyDescent="0.25">
      <c r="C23" s="24"/>
      <c r="M23" s="25"/>
    </row>
    <row r="24" spans="3:13" x14ac:dyDescent="0.25">
      <c r="C24" s="24"/>
      <c r="M24" s="25"/>
    </row>
    <row r="25" spans="3:13" x14ac:dyDescent="0.25">
      <c r="C25" s="24"/>
      <c r="M25" s="25"/>
    </row>
    <row r="26" spans="3:13" ht="15.75" customHeight="1" thickBot="1" x14ac:dyDescent="0.3">
      <c r="C26" s="24"/>
      <c r="M26" s="25"/>
    </row>
    <row r="27" spans="3:13" x14ac:dyDescent="0.25">
      <c r="C27" s="24"/>
      <c r="F27" s="190" t="s">
        <v>145</v>
      </c>
      <c r="G27" s="175"/>
      <c r="H27" s="175"/>
      <c r="I27" s="147"/>
      <c r="M27" s="25"/>
    </row>
    <row r="28" spans="3:13" ht="15.75" customHeight="1" thickBot="1" x14ac:dyDescent="0.3">
      <c r="C28" s="91"/>
      <c r="D28" s="92"/>
      <c r="E28" s="92"/>
      <c r="F28" s="170"/>
      <c r="G28" s="191"/>
      <c r="H28" s="191"/>
      <c r="I28" s="171"/>
      <c r="J28" s="92"/>
      <c r="K28" s="92"/>
      <c r="L28" s="92"/>
      <c r="M28" s="93"/>
    </row>
  </sheetData>
  <mergeCells count="4">
    <mergeCell ref="F27:I28"/>
    <mergeCell ref="C4:C16"/>
    <mergeCell ref="K16:K20"/>
    <mergeCell ref="K15:L15"/>
  </mergeCell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Semestre -1</vt:lpstr>
      <vt:lpstr>Semestre -2</vt:lpstr>
      <vt:lpstr>Mesam</vt:lpstr>
      <vt:lpstr>Comportement professionnelle</vt:lpstr>
      <vt:lpstr>Notes semestre 1 et 2</vt:lpstr>
      <vt:lpstr>Disposition-classe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2026-08-09T11:44:48Z</dcterms:created>
  <dcterms:modified xsi:type="dcterms:W3CDTF">2026-08-09T11:45:38Z</dcterms:modified>
  <cp:category/>
</cp:coreProperties>
</file>