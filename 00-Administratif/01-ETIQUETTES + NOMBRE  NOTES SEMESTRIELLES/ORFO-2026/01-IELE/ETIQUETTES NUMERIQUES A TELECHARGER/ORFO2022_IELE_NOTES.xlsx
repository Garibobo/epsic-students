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TEXTES_\EPSIC\ADMIN\ADMIN_DOMAINE_SANDRO\EIT_PQ_2026\ORFO_2026_FICHIERS_SANDRO\2026_ORFO_NOTES_ETIQUETTES_NUMERIQUES\"/>
    </mc:Choice>
  </mc:AlternateContent>
  <xr:revisionPtr revIDLastSave="9" documentId="13_ncr:1_{5FFB4F4F-0DED-4202-96C0-785DF763F882}" xr6:coauthVersionLast="47" xr6:coauthVersionMax="47" xr10:uidLastSave="{88DC7C6C-8E53-494D-8756-9333E694B66E}"/>
  <bookViews>
    <workbookView xWindow="-98" yWindow="-98" windowWidth="21795" windowHeight="12975" xr2:uid="{24446EAE-FF7B-4720-8461-B68F93A38A30}"/>
  </bookViews>
  <sheets>
    <sheet name="IELE1_SEMESTRES_12" sheetId="14" r:id="rId1"/>
    <sheet name="IELE2_SEMESTRES_34" sheetId="12" r:id="rId2"/>
    <sheet name="IELE3_SEMESTRES_56" sheetId="1" r:id="rId3"/>
    <sheet name="IELE4_SEMESTRES_78" sheetId="4" r:id="rId4"/>
    <sheet name="CP_ECG_IELE_BILAN" sheetId="10" r:id="rId5"/>
    <sheet name="EIT.SWISS IELE" sheetId="6" r:id="rId6"/>
  </sheets>
  <definedNames>
    <definedName name="CPS1MOY">IELE1_SEMESTRES_12!$D$39</definedName>
    <definedName name="CPS2MOY">IELE1_SEMESTRES_12!$I$39</definedName>
    <definedName name="CPS3MOY">IELE2_SEMESTRES_34!$D$39</definedName>
    <definedName name="CPS4MOY">IELE2_SEMESTRES_34!$I$39</definedName>
    <definedName name="CPS5MOY">IELE3_SEMESTRES_56!$D$31</definedName>
    <definedName name="CPS6MOY">IELE3_SEMESTRES_56!$I$31</definedName>
    <definedName name="CPS7MOY" localSheetId="3">IELE4_SEMESTRES_78!$D$32</definedName>
    <definedName name="CPS8MOY" localSheetId="3">IELE4_SEMESTRES_78!$I$32</definedName>
    <definedName name="DCOABCI14S1">IELE1_SEMESTRES_12!$A$22:$C$24</definedName>
    <definedName name="DCOABCI14S2">IELE1_SEMESTRES_12!$F$22:$H$24</definedName>
    <definedName name="DCOABCI15S1">IELE1_SEMESTRES_12!$A$29:$C$31</definedName>
    <definedName name="DCOABCI15S1MOY">IELE1_SEMESTRES_12!$D$31</definedName>
    <definedName name="DCOABCI15S2">IELE1_SEMESTRES_12!$F$29:$H$31</definedName>
    <definedName name="DCOABCI15S2MOY">IELE1_SEMESTRES_12!$I$31</definedName>
    <definedName name="DCOABCI16S1">IELE1_SEMESTRES_12!$A$33:$C$35</definedName>
    <definedName name="DCOABCI16S1MOY">IELE1_SEMESTRES_12!$D$35</definedName>
    <definedName name="DCOABCI16S2">IELE1_SEMESTRES_12!$F$33:$H$35</definedName>
    <definedName name="DCOABCI16S2MOY">IELE1_SEMESTRES_12!$I$35</definedName>
    <definedName name="DCOABCI23S3">IELE2_SEMESTRES_34!$A$18:$C$20</definedName>
    <definedName name="DCOABCI23S3MOY">IELE2_SEMESTRES_34!$D$20</definedName>
    <definedName name="DCOABCI23S4">IELE2_SEMESTRES_34!$F$18:$H$20</definedName>
    <definedName name="DCOABCI23S4MOY">IELE2_SEMESTRES_34!$I$20</definedName>
    <definedName name="DCOABCO11S1">IELE1_SEMESTRES_12!$A$10:$C$12</definedName>
    <definedName name="DCOABCO11S1MOY">IELE1_SEMESTRES_12!$D$12</definedName>
    <definedName name="DCOABCO11S2">IELE1_SEMESTRES_12!$F$10:$H$12</definedName>
    <definedName name="DCOABCO11S2MOY">IELE1_SEMESTRES_12!$I$12</definedName>
    <definedName name="DCOABCO12S1">IELE1_SEMESTRES_12!$A$14:$C$16</definedName>
    <definedName name="DCOABCO12S1MOY">IELE1_SEMESTRES_12!$D$16</definedName>
    <definedName name="DCOABCO12S2">IELE1_SEMESTRES_12!$F$14:$H$16</definedName>
    <definedName name="DCOABCO12S2MOY">IELE1_SEMESTRES_12!$I$16</definedName>
    <definedName name="DCOABCO21S3">IELE2_SEMESTRES_34!$A$10:$C$12</definedName>
    <definedName name="DCOABCO21S3MOY">IELE2_SEMESTRES_34!$D$12</definedName>
    <definedName name="DCOABCO21S4">IELE2_SEMESTRES_34!$F$10:$H$12</definedName>
    <definedName name="DCOABCO21S4MOY">IELE2_SEMESTRES_34!$I$12</definedName>
    <definedName name="DCOABCORI22S3">IELE2_SEMESTRES_34!$A$14:$C$16</definedName>
    <definedName name="DCOABCORI22S3MOY">IELE2_SEMESTRES_34!$D$16</definedName>
    <definedName name="DCOABCORI22S4">IELE2_SEMESTRES_34!$F$14:$H$16</definedName>
    <definedName name="DCOABCORI22S4MOY">IELE2_SEMESTRES_34!$I$16</definedName>
    <definedName name="DCOABCORIS1">IELE1_SEMESTRES_12!$A$18:$C$20</definedName>
    <definedName name="DCOABCORIS1MOY">IELE1_SEMESTRES_12!$D$20</definedName>
    <definedName name="DCOABCORIS2">IELE1_SEMESTRES_12!$F$18:$H$20</definedName>
    <definedName name="DCOABCORIS2MOY">IELE1_SEMESTRES_12!$I$20</definedName>
    <definedName name="DCOABCS1MOY">IELE1_SEMESTRES_12!$D$26</definedName>
    <definedName name="DCOABCS2MOY">IELE1_SEMESTRES_12!$I$26</definedName>
    <definedName name="DCOABCS3">IELE2_SEMESTRES_34!$A$10:$C$20</definedName>
    <definedName name="DCOABCS3MOY">IELE2_SEMESTRES_34!$D$22</definedName>
    <definedName name="DCOABCS4">IELE2_SEMESTRES_34!$F$10:$H$20</definedName>
    <definedName name="DCOABCS4MOY">IELE2_SEMESTRES_34!$I$22</definedName>
    <definedName name="DCOABCS5">IELE3_SEMESTRES_56!$A$10:$C$12</definedName>
    <definedName name="DCOABCS5MOY">IELE3_SEMESTRES_56!$D$18</definedName>
    <definedName name="DCOABCS6">IELE3_SEMESTRES_56!$F$14:$H$16</definedName>
    <definedName name="DCOABCS6MOY">IELE3_SEMESTRES_56!$I$18</definedName>
    <definedName name="DCOABCS7">IELE4_SEMESTRES_78!$A$10:$C$12</definedName>
    <definedName name="DCOABCS7MOY">IELE4_SEMESTRES_78!$D$18</definedName>
    <definedName name="DCOABCS8">IELE4_SEMESTRES_78!$F$14:$H$16</definedName>
    <definedName name="DCOABCS8MOY">IELE4_SEMESTRES_78!$I$18</definedName>
    <definedName name="DCODI24S3">IELE2_SEMESTRES_34!$A$25:$C$27</definedName>
    <definedName name="DCODI24S3MOY">IELE2_SEMESTRES_34!$D$27</definedName>
    <definedName name="DCODI24S4">IELE2_SEMESTRES_34!$F$25:$H$27</definedName>
    <definedName name="DCODI24S4MOY">IELE2_SEMESTRES_34!$I$27</definedName>
    <definedName name="DCODI25S3">IELE2_SEMESTRES_34!$A$29:$C$31</definedName>
    <definedName name="DCODI25S3MOY">IELE2_SEMESTRES_34!$D$31</definedName>
    <definedName name="DCODI25S4">IELE2_SEMESTRES_34!$F$29:$H$31</definedName>
    <definedName name="DCODI25S4MOY">IELE2_SEMESTRES_34!$I$31</definedName>
    <definedName name="DCODI26S3">IELE2_SEMESTRES_34!$A$33:$C$35</definedName>
    <definedName name="DCODI26S3MOY">IELE2_SEMESTRES_34!$D$35</definedName>
    <definedName name="DCODI26S4">IELE2_SEMESTRES_34!$F$33:$H$35</definedName>
    <definedName name="DCODI26S4MOY">IELE2_SEMESTRES_34!$I$35</definedName>
    <definedName name="DCODS1">IELE1_SEMESTRES_12!$A$29:$C$35</definedName>
    <definedName name="DCODS1MOY">IELE1_SEMESTRES_12!$D$37</definedName>
    <definedName name="DCODS2">IELE1_SEMESTRES_12!$F$29:$H$35</definedName>
    <definedName name="DCODS2MOY">IELE1_SEMESTRES_12!$I$37</definedName>
    <definedName name="DCODS3">IELE2_SEMESTRES_34!$A$25:$C$35</definedName>
    <definedName name="DCODS3MOY">IELE2_SEMESTRES_34!$D$37</definedName>
    <definedName name="DCODS4">IELE2_SEMESTRES_34!$F$25:$H$35</definedName>
    <definedName name="DCODS4MOY">IELE2_SEMESTRES_34!$I$37</definedName>
    <definedName name="DCOEFS5">IELE3_SEMESTRES_56!$A$21:$C$27</definedName>
    <definedName name="DCOEFS5MOY">IELE3_SEMESTRES_56!$D$29</definedName>
    <definedName name="DCOEFS6">IELE3_SEMESTRES_56!$F$21:$H$27</definedName>
    <definedName name="DCOEFS6MOY">IELE3_SEMESTRES_56!$I$29</definedName>
    <definedName name="DCOEFS7">IELE4_SEMESTRES_78!$A$21:$C$27</definedName>
    <definedName name="DCOEFS7MOY">IELE4_SEMESTRES_78!$D$29</definedName>
    <definedName name="DCOEFS8">IELE4_SEMESTRES_78!$F$21:$H$27</definedName>
    <definedName name="DCOEFS8MOY">IELE4_SEMESTRES_78!$I$29</definedName>
    <definedName name="DCOS1">IELE1_SEMESTRES_12!$A$10:$C$24</definedName>
    <definedName name="DCOS2">IELE1_SEMESTRES_12!$F$10:$H$24</definedName>
    <definedName name="ECGLCS1">IELE1_SEMESTRES_12!$A$43:$C$45</definedName>
    <definedName name="ECGLCS1MOY">IELE1_SEMESTRES_12!$D$45</definedName>
    <definedName name="ECGLCS2">IELE1_SEMESTRES_12!$F$43:$H$45</definedName>
    <definedName name="ECGLCS2MOY">IELE1_SEMESTRES_12!$I$45</definedName>
    <definedName name="ECGLCS3" localSheetId="0">IELE1_SEMESTRES_12!$A$43:$C$45</definedName>
    <definedName name="ECGLCS3">IELE2_SEMESTRES_34!$A$43:$C$45</definedName>
    <definedName name="ECGLCS3MOY">IELE2_SEMESTRES_34!$D$45</definedName>
    <definedName name="ECGLCS4">IELE2_SEMESTRES_34!$F$43:$H$45</definedName>
    <definedName name="ECGLCS4MOY">IELE2_SEMESTRES_34!$I$45</definedName>
    <definedName name="ECGLCS5">IELE3_SEMESTRES_56!$A$35:$C$37</definedName>
    <definedName name="ECGLCS5MOY">IELE3_SEMESTRES_56!$D$37</definedName>
    <definedName name="ECGLCS6">IELE3_SEMESTRES_56!$F$35:$H$37</definedName>
    <definedName name="ECGLCS6MOY">IELE3_SEMESTRES_56!$I$37</definedName>
    <definedName name="ECGLCS7" localSheetId="3">IELE4_SEMESTRES_78!$A$36:$C$38</definedName>
    <definedName name="ECGLCS7MOY" localSheetId="3">IELE4_SEMESTRES_78!$D$38</definedName>
    <definedName name="ECGLCS8" localSheetId="3">IELE4_SEMESTRES_78!$F$36:$H$38</definedName>
    <definedName name="ECGLCS8MOY" localSheetId="3">IELE4_SEMESTRES_78!$I$38</definedName>
    <definedName name="ECGS1MOY">IELE1_SEMESTRES_12!$D$51</definedName>
    <definedName name="ECGS2MOY">IELE1_SEMESTRES_12!$I$51</definedName>
    <definedName name="ECGS3MOY">IELE2_SEMESTRES_34!$D$51</definedName>
    <definedName name="ECGS4MOY">IELE2_SEMESTRES_34!$I$51</definedName>
    <definedName name="ECGS5MOY">IELE3_SEMESTRES_56!$D$43</definedName>
    <definedName name="ECGS6MOY">IELE3_SEMESTRES_56!$I$43</definedName>
    <definedName name="ECGS7MOY" localSheetId="3">IELE4_SEMESTRES_78!$D$44</definedName>
    <definedName name="ECGS8MOY" localSheetId="3">IELE4_SEMESTRES_78!$I$44</definedName>
    <definedName name="ECGSOS1">IELE1_SEMESTRES_12!$A$47:$C$49</definedName>
    <definedName name="ECGSOS1MOY">IELE1_SEMESTRES_12!$D$49</definedName>
    <definedName name="ECGSOS2">IELE1_SEMESTRES_12!$F$47:$H$49</definedName>
    <definedName name="ECGSOS2MOY">IELE1_SEMESTRES_12!$I$49</definedName>
    <definedName name="ECGSOS3" localSheetId="0">IELE1_SEMESTRES_12!$A$47:$C$49</definedName>
    <definedName name="ECGSOS3">IELE2_SEMESTRES_34!$A$47:$C$49</definedName>
    <definedName name="ECGSOS3MOY">IELE2_SEMESTRES_34!$D$49</definedName>
    <definedName name="ECGSOS4">IELE2_SEMESTRES_34!$F$47:$H$49</definedName>
    <definedName name="ECGSOS4MOY">IELE2_SEMESTRES_34!$I$49</definedName>
    <definedName name="ECGSOS5">IELE3_SEMESTRES_56!$A$39:$C$41</definedName>
    <definedName name="ECGSOS5MOY">IELE3_SEMESTRES_56!$D$41</definedName>
    <definedName name="ECGSOS6">IELE3_SEMESTRES_56!$F$39:$H$41</definedName>
    <definedName name="ECGSOS6MOY">IELE3_SEMESTRES_56!$I$41</definedName>
    <definedName name="ECGSOS7" localSheetId="3">IELE4_SEMESTRES_78!$A$40:$C$42</definedName>
    <definedName name="ECGSOS7MOY" localSheetId="3">IELE4_SEMESTRES_78!$D$42</definedName>
    <definedName name="ECGSOS8" localSheetId="3">IELE4_SEMESTRES_78!$F$40:$H$42</definedName>
    <definedName name="ECGSOS8MOY" localSheetId="3">IELE4_SEMESTRES_78!$I$42</definedName>
    <definedName name="Print_Area" localSheetId="4">CP_ECG_IELE_BILAN!$A$1:$I$34</definedName>
    <definedName name="Print_Area" localSheetId="0">IELE1_SEMESTRES_12!$A$1:$I$55</definedName>
    <definedName name="Print_Area" localSheetId="1">IELE2_SEMESTRES_34!$A$1:$I$55</definedName>
    <definedName name="Print_Area" localSheetId="2">IELE3_SEMESTRES_56!$A$1:$I$47</definedName>
    <definedName name="Print_Area" localSheetId="3">IELE4_SEMESTRES_78!$A$1:$I$48</definedName>
    <definedName name="_xlnm.Print_Area" localSheetId="4">CP_ECG_IELE_BILAN!$A$1:$I$34</definedName>
    <definedName name="_xlnm.Print_Area" localSheetId="0">IELE1_SEMESTRES_12!$A$1:$I$55</definedName>
    <definedName name="_xlnm.Print_Area" localSheetId="1">IELE2_SEMESTRES_34!$A$1:$I$55</definedName>
    <definedName name="_xlnm.Print_Area" localSheetId="2">IELE3_SEMESTRES_56!$A$1:$I$47</definedName>
    <definedName name="_xlnm.Print_Area" localSheetId="3">IELE4_SEMESTRES_78!$A$1:$I$48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  <c r="D18" i="4"/>
  <c r="I29" i="4"/>
  <c r="D29" i="4"/>
  <c r="D32" i="4" s="1"/>
  <c r="I29" i="1"/>
  <c r="D29" i="1"/>
  <c r="I18" i="1"/>
  <c r="D18" i="1"/>
  <c r="D31" i="1" s="1"/>
  <c r="J32" i="12"/>
  <c r="J28" i="12"/>
  <c r="J24" i="12"/>
  <c r="I37" i="12"/>
  <c r="D37" i="12"/>
  <c r="I22" i="12"/>
  <c r="D22" i="12"/>
  <c r="J32" i="14"/>
  <c r="J28" i="14"/>
  <c r="J21" i="14"/>
  <c r="I37" i="14"/>
  <c r="D37" i="14"/>
  <c r="I26" i="14"/>
  <c r="I39" i="14" s="1"/>
  <c r="D26" i="14"/>
  <c r="A1" i="6"/>
  <c r="I39" i="12" l="1"/>
  <c r="I32" i="4"/>
  <c r="I31" i="1"/>
  <c r="D39" i="12"/>
  <c r="D39" i="14"/>
  <c r="D49" i="14" l="1"/>
  <c r="D45" i="14"/>
  <c r="I45" i="14"/>
  <c r="I49" i="14"/>
  <c r="D49" i="12"/>
  <c r="I49" i="12"/>
  <c r="I45" i="12"/>
  <c r="D45" i="12"/>
  <c r="I38" i="4"/>
  <c r="I42" i="4"/>
  <c r="D42" i="4"/>
  <c r="D38" i="4"/>
  <c r="I41" i="1"/>
  <c r="D41" i="1"/>
  <c r="I37" i="1"/>
  <c r="D37" i="1"/>
  <c r="I51" i="14" l="1"/>
  <c r="D51" i="14"/>
  <c r="D12" i="10"/>
  <c r="D44" i="4"/>
  <c r="I51" i="12"/>
  <c r="D51" i="12"/>
  <c r="I44" i="4"/>
  <c r="I43" i="1"/>
  <c r="D43" i="1"/>
  <c r="D26" i="10" l="1"/>
  <c r="D24" i="10"/>
  <c r="D28" i="10"/>
  <c r="D10" i="10"/>
  <c r="D13" i="10"/>
  <c r="D29" i="10"/>
  <c r="D25" i="10"/>
  <c r="D9" i="10"/>
  <c r="D14" i="10"/>
  <c r="D27" i="10"/>
  <c r="D16" i="10"/>
  <c r="D22" i="10"/>
  <c r="D23" i="10"/>
  <c r="D11" i="10"/>
  <c r="D31" i="10" l="1"/>
  <c r="D15" i="10" l="1"/>
  <c r="D18" i="10" s="1"/>
</calcChain>
</file>

<file path=xl/sharedStrings.xml><?xml version="1.0" encoding="utf-8"?>
<sst xmlns="http://schemas.openxmlformats.org/spreadsheetml/2006/main" count="165" uniqueCount="65">
  <si>
    <t>Installateur/trice-électricien/ne CFC</t>
  </si>
  <si>
    <t>Nom et prénom :</t>
  </si>
  <si>
    <t>Connaissances professionnelles «CP»</t>
  </si>
  <si>
    <t>Semestre 1</t>
  </si>
  <si>
    <t>Moyenne</t>
  </si>
  <si>
    <t>Semestre 2</t>
  </si>
  <si>
    <t>O-IELE 11</t>
  </si>
  <si>
    <t>DCO ABC</t>
  </si>
  <si>
    <t>O-IELE 12</t>
  </si>
  <si>
    <t>ORI-IELE 13</t>
  </si>
  <si>
    <t>I-IELE 14 (++)</t>
  </si>
  <si>
    <t>Moyenne S1 «DCO ABC»</t>
  </si>
  <si>
    <t>Moyenne S2 «DCO ABC»</t>
  </si>
  <si>
    <t>I-IELE 15 (++)</t>
  </si>
  <si>
    <t>DCO D</t>
  </si>
  <si>
    <t>I-IELE 16 (++)</t>
  </si>
  <si>
    <t>Moyenne S1 «DCO D»</t>
  </si>
  <si>
    <t>Moyenne S2 «DCO D»</t>
  </si>
  <si>
    <t>Moyenne S1 de «CP»</t>
  </si>
  <si>
    <t>Moyenne S2 de «CP»</t>
  </si>
  <si>
    <t>Culture générale «ECG»</t>
  </si>
  <si>
    <t>Langues et commun.</t>
  </si>
  <si>
    <t>Société</t>
  </si>
  <si>
    <t>Moyenne d'«ECG»</t>
  </si>
  <si>
    <t>Toutes les notes et les moyennes sont arrondies à 0.5</t>
  </si>
  <si>
    <t>Important : ce bulletin est mis à disposition à titre indicatif. Seul le bulletin officiel fait foi.</t>
  </si>
  <si>
    <t>Semestre 3</t>
  </si>
  <si>
    <t>Semestre 4</t>
  </si>
  <si>
    <t>O-IELE 21</t>
  </si>
  <si>
    <t>ORI-IELE 22</t>
  </si>
  <si>
    <t>I-IELE 23</t>
  </si>
  <si>
    <t>Moyenne S3 «DCO ABC»</t>
  </si>
  <si>
    <t>Moyenne S4 «DCO ABC»</t>
  </si>
  <si>
    <t>I-IELE 24 (++)</t>
  </si>
  <si>
    <t>I-IELE 25 (++)</t>
  </si>
  <si>
    <t>I-IELE 26 (++)</t>
  </si>
  <si>
    <t>Moyenne S3 «DCO D»</t>
  </si>
  <si>
    <t>Moyenne S4 «DCO D»</t>
  </si>
  <si>
    <t>Moyenne S3 de «CP»</t>
  </si>
  <si>
    <t>Moyenne S4 de «CP»</t>
  </si>
  <si>
    <t>Semestre 5</t>
  </si>
  <si>
    <t>Semestre 6</t>
  </si>
  <si>
    <t>OI-IELE 31</t>
  </si>
  <si>
    <t>I-IELE 32</t>
  </si>
  <si>
    <t>Moyenne S5 «DCO ABC»</t>
  </si>
  <si>
    <t>Moyenne S6 «DCO ABC»</t>
  </si>
  <si>
    <t>F-IELE 33</t>
  </si>
  <si>
    <t>DCO EF</t>
  </si>
  <si>
    <t>F-IELE 34</t>
  </si>
  <si>
    <t>Moyenne S5 «DCO EF»</t>
  </si>
  <si>
    <t>Moyenne S6 de «DCO EF»</t>
  </si>
  <si>
    <t>Moyenne de «CP»</t>
  </si>
  <si>
    <t>Semestre 7</t>
  </si>
  <si>
    <t>Semestre 8</t>
  </si>
  <si>
    <t>ORI-IELE 41</t>
  </si>
  <si>
    <t>I-IELE 42</t>
  </si>
  <si>
    <t>Moyenne S7 «DCO ABC»</t>
  </si>
  <si>
    <t>Moyenne S8 «DCO ABC»</t>
  </si>
  <si>
    <t>FF-IELE 43</t>
  </si>
  <si>
    <t>F-IELE 44</t>
  </si>
  <si>
    <t>Moyenne S7 «DCO EF»</t>
  </si>
  <si>
    <t>Moyenne S8 de «DCO EF»</t>
  </si>
  <si>
    <t>Semestres</t>
  </si>
  <si>
    <t>Moyenne de «CP» 4 ans</t>
  </si>
  <si>
    <t>Moyenne d'«ECG» 4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</si>
</sst>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009A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3" xfId="0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4" fillId="0" borderId="5" xfId="0" applyFont="1" applyBorder="1" applyAlignment="1" applyProtection="1">
      <alignment horizontal="center"/>
      <protection locked="0"/>
    </xf>
    <xf numFmtId="0" fontId="10" fillId="0" borderId="0" xfId="0" applyFont="1"/>
    <xf numFmtId="0" fontId="11" fillId="0" borderId="0" xfId="0" applyFont="1"/>
    <xf numFmtId="0" fontId="4" fillId="2" borderId="5" xfId="0" applyFont="1" applyFill="1" applyBorder="1" applyAlignment="1" applyProtection="1">
      <alignment horizontal="center"/>
      <protection locked="0"/>
    </xf>
    <xf numFmtId="0" fontId="12" fillId="0" borderId="0" xfId="0" applyFont="1"/>
    <xf numFmtId="0" fontId="13" fillId="0" borderId="0" xfId="0" applyFont="1"/>
    <xf numFmtId="0" fontId="7" fillId="0" borderId="0" xfId="0" applyFont="1" applyAlignment="1">
      <alignment horizontal="center"/>
    </xf>
    <xf numFmtId="0" fontId="4" fillId="4" borderId="0" xfId="0" applyFont="1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textRotation="90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1" applyAlignment="1">
      <alignment horizontal="center"/>
    </xf>
  </cellXfs>
  <cellStyles count="2">
    <cellStyle name="Lien hypertexte" xfId="1" builtinId="8"/>
    <cellStyle name="Normal" xfId="0" builtinId="0"/>
  </cellStyles>
  <dxfs count="192"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strike val="0"/>
      </font>
      <fill>
        <patternFill>
          <bgColor rgb="FFC00000"/>
        </patternFill>
      </fill>
      <border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strike val="0"/>
      </font>
      <fill>
        <patternFill>
          <bgColor rgb="FFC00000"/>
        </patternFill>
      </fill>
      <border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FF"/>
      <color rgb="FF009AFF"/>
      <color rgb="FFFFDDDD"/>
      <color rgb="FFFFCCCC"/>
      <color rgb="FFFF9999"/>
      <color rgb="FFFF7C80"/>
      <color rgb="FFF4A49E"/>
      <color rgb="FF9A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36-4E2C-455E-A39D-BDA0BF120069}">
  <dimension ref="A1:Z79"/>
  <sheetViews>
    <sheetView showGridLines="0" tabSelected="1" topLeftCell="A43" zoomScaleNormal="100" workbookViewId="0">
      <selection activeCell="F22" sqref="F22"/>
    </sheetView>
  </sheetViews>
  <sheetFormatPr defaultColWidth="11.42578125" defaultRowHeight="14.25"/>
  <cols>
    <col min="1" max="9" width="8.85546875" customWidth="1"/>
    <col min="26" max="26" width="11.5703125" style="17"/>
  </cols>
  <sheetData>
    <row r="1" spans="1:9" ht="4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3" spans="1:9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9" ht="30" customHeight="1">
      <c r="A5" s="23" t="s">
        <v>2</v>
      </c>
      <c r="B5" s="23"/>
      <c r="C5" s="23"/>
      <c r="D5" s="23"/>
      <c r="E5" s="23"/>
      <c r="F5" s="23"/>
      <c r="G5" s="23"/>
      <c r="H5" s="23"/>
      <c r="I5" s="23"/>
    </row>
    <row r="7" spans="1:9">
      <c r="A7" s="27" t="s">
        <v>3</v>
      </c>
      <c r="B7" s="27"/>
      <c r="C7" s="27"/>
      <c r="D7" s="8" t="s">
        <v>4</v>
      </c>
      <c r="E7" s="9"/>
      <c r="F7" s="27" t="s">
        <v>5</v>
      </c>
      <c r="G7" s="27"/>
      <c r="H7" s="27"/>
      <c r="I7" s="8" t="s">
        <v>4</v>
      </c>
    </row>
    <row r="9" spans="1:9">
      <c r="A9" s="2" t="s">
        <v>6</v>
      </c>
      <c r="B9" s="2"/>
      <c r="C9" s="2"/>
      <c r="D9" s="2"/>
      <c r="E9" s="2"/>
      <c r="F9" s="2" t="s">
        <v>6</v>
      </c>
      <c r="G9" s="2"/>
      <c r="H9" s="2"/>
      <c r="I9" s="2"/>
    </row>
    <row r="10" spans="1:9" ht="14.25" customHeight="1">
      <c r="A10" s="16">
        <v>5.5</v>
      </c>
      <c r="B10" s="16"/>
      <c r="C10" s="13"/>
      <c r="D10" s="24" t="s">
        <v>7</v>
      </c>
      <c r="E10" s="3"/>
      <c r="F10" s="16">
        <v>5</v>
      </c>
      <c r="G10" s="16"/>
      <c r="H10" s="13"/>
      <c r="I10" s="24" t="s">
        <v>7</v>
      </c>
    </row>
    <row r="11" spans="1:9">
      <c r="A11" s="13"/>
      <c r="B11" s="13"/>
      <c r="C11" s="13"/>
      <c r="D11" s="24"/>
      <c r="E11" s="3"/>
      <c r="F11" s="13"/>
      <c r="G11" s="13"/>
      <c r="H11" s="13"/>
      <c r="I11" s="24"/>
    </row>
    <row r="12" spans="1:9">
      <c r="A12" s="13"/>
      <c r="B12" s="13"/>
      <c r="C12" s="13"/>
      <c r="D12" s="24"/>
      <c r="E12" s="3"/>
      <c r="F12" s="13"/>
      <c r="G12" s="13"/>
      <c r="H12" s="13"/>
      <c r="I12" s="24"/>
    </row>
    <row r="13" spans="1:9">
      <c r="A13" s="2" t="s">
        <v>8</v>
      </c>
      <c r="D13" s="24"/>
      <c r="E13" s="2"/>
      <c r="F13" s="2" t="s">
        <v>8</v>
      </c>
      <c r="I13" s="24"/>
    </row>
    <row r="14" spans="1:9">
      <c r="A14" s="16"/>
      <c r="B14" s="16"/>
      <c r="C14" s="16"/>
      <c r="D14" s="24"/>
      <c r="E14" s="3"/>
      <c r="F14" s="16"/>
      <c r="G14" s="16"/>
      <c r="H14" s="13"/>
      <c r="I14" s="24"/>
    </row>
    <row r="15" spans="1:9">
      <c r="A15" s="13"/>
      <c r="B15" s="13"/>
      <c r="C15" s="13"/>
      <c r="D15" s="24"/>
      <c r="E15" s="3"/>
      <c r="F15" s="13"/>
      <c r="G15" s="13"/>
      <c r="H15" s="13"/>
      <c r="I15" s="24"/>
    </row>
    <row r="16" spans="1:9">
      <c r="A16" s="13"/>
      <c r="B16" s="13"/>
      <c r="C16" s="13"/>
      <c r="D16" s="24"/>
      <c r="E16" s="3"/>
      <c r="F16" s="13"/>
      <c r="G16" s="13"/>
      <c r="H16" s="13"/>
      <c r="I16" s="24"/>
    </row>
    <row r="17" spans="1:26">
      <c r="A17" s="2" t="s">
        <v>9</v>
      </c>
      <c r="D17" s="24"/>
      <c r="E17" s="2"/>
      <c r="F17" s="2" t="s">
        <v>9</v>
      </c>
      <c r="I17" s="24"/>
    </row>
    <row r="18" spans="1:26">
      <c r="A18" s="16"/>
      <c r="B18" s="16"/>
      <c r="C18" s="13"/>
      <c r="D18" s="24"/>
      <c r="E18" s="3"/>
      <c r="F18" s="16"/>
      <c r="G18" s="16"/>
      <c r="H18" s="13"/>
      <c r="I18" s="24"/>
    </row>
    <row r="19" spans="1:26">
      <c r="A19" s="13"/>
      <c r="B19" s="13"/>
      <c r="C19" s="13"/>
      <c r="D19" s="24"/>
      <c r="E19" s="3"/>
      <c r="F19" s="13"/>
      <c r="G19" s="13"/>
      <c r="H19" s="13"/>
      <c r="I19" s="24"/>
    </row>
    <row r="20" spans="1:26" ht="15" customHeight="1">
      <c r="A20" s="13"/>
      <c r="B20" s="13"/>
      <c r="C20" s="13"/>
      <c r="D20" s="24"/>
      <c r="E20" s="3"/>
      <c r="F20" s="13"/>
      <c r="G20" s="13"/>
      <c r="H20" s="13"/>
      <c r="I20" s="24"/>
      <c r="Z20" s="18"/>
    </row>
    <row r="21" spans="1:26" ht="15" customHeight="1">
      <c r="A21" s="20" t="s">
        <v>10</v>
      </c>
      <c r="B21" s="21"/>
      <c r="C21" s="21"/>
      <c r="D21" s="24"/>
      <c r="F21" s="20" t="s">
        <v>10</v>
      </c>
      <c r="G21" s="21"/>
      <c r="H21" s="21"/>
      <c r="I21" s="24"/>
      <c r="J21" s="25" t="str">
        <f>IF(AND(COUNT(DCOABCI14S1)&gt;0,COUNT(DCOABCI14S2)&gt;0),"CONFLIT : Supprimez les notes du semestre non concerné (S1 OU S2 uniquement).","")</f>
        <v/>
      </c>
      <c r="K21" s="25"/>
      <c r="Z21" s="18"/>
    </row>
    <row r="22" spans="1:26" ht="15" customHeight="1">
      <c r="A22" s="16">
        <v>5.5</v>
      </c>
      <c r="B22" s="16"/>
      <c r="C22" s="13"/>
      <c r="D22" s="24"/>
      <c r="E22" s="3"/>
      <c r="F22" s="16"/>
      <c r="G22" s="16"/>
      <c r="H22" s="13"/>
      <c r="I22" s="24"/>
      <c r="J22" s="25"/>
      <c r="K22" s="25"/>
      <c r="Z22" s="18"/>
    </row>
    <row r="23" spans="1:26" ht="15" customHeight="1">
      <c r="A23" s="13"/>
      <c r="B23" s="13"/>
      <c r="C23" s="13"/>
      <c r="D23" s="24"/>
      <c r="E23" s="3"/>
      <c r="F23" s="13"/>
      <c r="G23" s="13"/>
      <c r="H23" s="13"/>
      <c r="I23" s="24"/>
      <c r="J23" s="25"/>
      <c r="K23" s="25"/>
      <c r="Z23" s="18"/>
    </row>
    <row r="24" spans="1:26" ht="15" customHeight="1">
      <c r="A24" s="13"/>
      <c r="B24" s="13"/>
      <c r="C24" s="13"/>
      <c r="D24" s="24"/>
      <c r="E24" s="3"/>
      <c r="F24" s="13"/>
      <c r="G24" s="13"/>
      <c r="H24" s="13"/>
      <c r="I24" s="24"/>
      <c r="J24" s="25"/>
      <c r="K24" s="25"/>
      <c r="Z24" s="18"/>
    </row>
    <row r="25" spans="1:26" ht="15" customHeight="1" thickBot="1">
      <c r="Z25" s="18"/>
    </row>
    <row r="26" spans="1:26" ht="15" customHeight="1" thickBot="1">
      <c r="A26" s="2" t="s">
        <v>11</v>
      </c>
      <c r="D26" s="6">
        <f>IF(ISERROR(AVERAGE(DCOS1)),"",MROUND(AVERAGE(DCOS1),0.5))</f>
        <v>5.5</v>
      </c>
      <c r="F26" s="2" t="s">
        <v>12</v>
      </c>
      <c r="I26" s="6">
        <f>IF(ISERROR(AVERAGE(DCOS2)),"",MROUND(AVERAGE(DCOS2),0.5))</f>
        <v>5</v>
      </c>
      <c r="Z26" s="18"/>
    </row>
    <row r="27" spans="1:26" ht="15" customHeight="1">
      <c r="Z27" s="18"/>
    </row>
    <row r="28" spans="1:26" ht="15" customHeight="1">
      <c r="A28" s="20" t="s">
        <v>13</v>
      </c>
      <c r="B28" s="20"/>
      <c r="C28" s="20"/>
      <c r="D28" s="2"/>
      <c r="F28" s="20" t="s">
        <v>13</v>
      </c>
      <c r="G28" s="21"/>
      <c r="H28" s="21"/>
      <c r="I28" s="2"/>
      <c r="J28" s="25" t="str">
        <f>IF(AND(COUNT(DCOABCI15S1)&gt;0,COUNT(DCOABCI15S2)&gt;0),"CONFLIT : Supprimez les notes du semestre non concerné (S1 OU S2 uniquement).","")</f>
        <v/>
      </c>
      <c r="K28" s="25"/>
      <c r="Z28" s="18"/>
    </row>
    <row r="29" spans="1:26" ht="15" customHeight="1">
      <c r="A29" s="16"/>
      <c r="B29" s="16"/>
      <c r="C29" s="13"/>
      <c r="D29" s="24" t="s">
        <v>14</v>
      </c>
      <c r="E29" s="3"/>
      <c r="F29" s="16"/>
      <c r="G29" s="16"/>
      <c r="H29" s="13"/>
      <c r="I29" s="24" t="s">
        <v>14</v>
      </c>
      <c r="J29" s="25"/>
      <c r="K29" s="25"/>
      <c r="Z29" s="18"/>
    </row>
    <row r="30" spans="1:26" ht="15" customHeight="1">
      <c r="A30" s="13"/>
      <c r="B30" s="13"/>
      <c r="C30" s="13"/>
      <c r="D30" s="24"/>
      <c r="E30" s="3"/>
      <c r="F30" s="13"/>
      <c r="G30" s="13"/>
      <c r="H30" s="13"/>
      <c r="I30" s="24"/>
      <c r="J30" s="25"/>
      <c r="K30" s="25"/>
      <c r="Z30" s="18"/>
    </row>
    <row r="31" spans="1:26" ht="15" customHeight="1">
      <c r="A31" s="13"/>
      <c r="B31" s="13"/>
      <c r="C31" s="13"/>
      <c r="D31" s="24"/>
      <c r="E31" s="3"/>
      <c r="F31" s="13"/>
      <c r="G31" s="13"/>
      <c r="H31" s="13"/>
      <c r="I31" s="24"/>
      <c r="J31" s="25"/>
      <c r="K31" s="25"/>
      <c r="Z31" s="18"/>
    </row>
    <row r="32" spans="1:26" ht="15" customHeight="1">
      <c r="A32" s="20" t="s">
        <v>15</v>
      </c>
      <c r="B32" s="21"/>
      <c r="C32" s="21"/>
      <c r="D32" s="24"/>
      <c r="F32" s="20" t="s">
        <v>15</v>
      </c>
      <c r="G32" s="21"/>
      <c r="H32" s="21"/>
      <c r="I32" s="24"/>
      <c r="J32" s="25" t="str">
        <f>IF(AND(COUNT(DCOABCI16S1)&gt;0,COUNT(DCOABCI16S2)&gt;0),"CONFLIT : Supprimez les notes du semestre non concerné (S1 OU S2 uniquement).","")</f>
        <v/>
      </c>
      <c r="K32" s="25"/>
      <c r="Z32" s="18"/>
    </row>
    <row r="33" spans="1:11">
      <c r="A33" s="16"/>
      <c r="B33" s="16"/>
      <c r="C33" s="16"/>
      <c r="D33" s="24"/>
      <c r="E33" s="3"/>
      <c r="F33" s="16"/>
      <c r="G33" s="16"/>
      <c r="H33" s="16"/>
      <c r="I33" s="24"/>
      <c r="J33" s="25"/>
      <c r="K33" s="25"/>
    </row>
    <row r="34" spans="1:11">
      <c r="A34" s="13"/>
      <c r="B34" s="13"/>
      <c r="C34" s="13"/>
      <c r="D34" s="24"/>
      <c r="E34" s="3"/>
      <c r="F34" s="13"/>
      <c r="G34" s="13"/>
      <c r="H34" s="13"/>
      <c r="I34" s="24"/>
      <c r="J34" s="25"/>
      <c r="K34" s="25"/>
    </row>
    <row r="35" spans="1:11">
      <c r="A35" s="13"/>
      <c r="B35" s="13"/>
      <c r="C35" s="13"/>
      <c r="D35" s="24"/>
      <c r="E35" s="3"/>
      <c r="F35" s="13"/>
      <c r="G35" s="13"/>
      <c r="H35" s="13"/>
      <c r="I35" s="24"/>
      <c r="J35" s="25"/>
      <c r="K35" s="25"/>
    </row>
    <row r="36" spans="1:11" ht="14.65" thickBot="1"/>
    <row r="37" spans="1:11" ht="14.65" thickBot="1">
      <c r="A37" s="2" t="s">
        <v>16</v>
      </c>
      <c r="D37" s="6" t="str">
        <f>IF(ISERROR(AVERAGE(DCODS1)),"",MROUND(AVERAGE(DCODS1),0.5))</f>
        <v/>
      </c>
      <c r="F37" s="2" t="s">
        <v>17</v>
      </c>
      <c r="I37" s="6" t="str">
        <f>IF(ISERROR(AVERAGE(DCODS2)),"",MROUND(AVERAGE(DCODS2),0.5))</f>
        <v/>
      </c>
    </row>
    <row r="38" spans="1:11" ht="14.65" thickBot="1"/>
    <row r="39" spans="1:11" ht="15" thickTop="1" thickBot="1">
      <c r="A39" s="2" t="s">
        <v>18</v>
      </c>
      <c r="B39" s="2"/>
      <c r="C39" s="2"/>
      <c r="D39" s="7">
        <f>IF(ISERROR(AVERAGE(DCOABCS1MOY,DCODS1MOY)),"",MROUND(AVERAGE(DCOABCS1MOY,DCODS1MOY),0.5))</f>
        <v>5.5</v>
      </c>
      <c r="E39" s="2"/>
      <c r="F39" s="2" t="s">
        <v>19</v>
      </c>
      <c r="G39" s="2"/>
      <c r="H39" s="2"/>
      <c r="I39" s="7">
        <f>IF(ISERROR(AVERAGE(DCOABCS2MOY,DCODS2MOY)),"",MROUND(AVERAGE(DCOABCS2MOY,DCODS2MOY),0.5))</f>
        <v>5</v>
      </c>
    </row>
    <row r="40" spans="1:11" ht="14.65" thickTop="1"/>
    <row r="41" spans="1:11" ht="20.25">
      <c r="A41" s="23" t="s">
        <v>20</v>
      </c>
      <c r="B41" s="23"/>
      <c r="C41" s="23"/>
      <c r="D41" s="23"/>
      <c r="E41" s="23"/>
      <c r="F41" s="23"/>
      <c r="G41" s="23"/>
      <c r="H41" s="23"/>
      <c r="I41" s="23"/>
    </row>
    <row r="42" spans="1:11">
      <c r="A42" s="2" t="s">
        <v>21</v>
      </c>
      <c r="B42" s="2"/>
      <c r="C42" s="2"/>
      <c r="D42" s="2"/>
      <c r="E42" s="2"/>
      <c r="F42" s="2" t="s">
        <v>21</v>
      </c>
      <c r="G42" s="2"/>
      <c r="H42" s="2"/>
      <c r="I42" s="2"/>
    </row>
    <row r="43" spans="1:11">
      <c r="A43" s="16"/>
      <c r="B43" s="16"/>
      <c r="C43" s="16"/>
      <c r="D43" s="3"/>
      <c r="E43" s="3"/>
      <c r="F43" s="16"/>
      <c r="G43" s="16"/>
      <c r="H43" s="16"/>
      <c r="I43" s="3"/>
    </row>
    <row r="44" spans="1:11" ht="14.65" thickBot="1">
      <c r="A44" s="13"/>
      <c r="B44" s="13"/>
      <c r="C44" s="13"/>
      <c r="D44" s="3"/>
      <c r="E44" s="3"/>
      <c r="F44" s="13"/>
      <c r="G44" s="13"/>
      <c r="H44" s="13"/>
      <c r="I44" s="3"/>
    </row>
    <row r="45" spans="1:11" ht="14.65" thickBot="1">
      <c r="A45" s="13"/>
      <c r="B45" s="13"/>
      <c r="C45" s="13"/>
      <c r="D45" s="6" t="str">
        <f>IF(ISERROR(AVERAGE(ECGLCS1)),"",MROUND(AVERAGE(ECGLCS1),0.5))</f>
        <v/>
      </c>
      <c r="E45" s="3"/>
      <c r="F45" s="13"/>
      <c r="G45" s="13"/>
      <c r="H45" s="13"/>
      <c r="I45" s="6" t="str">
        <f>IF(ISERROR(AVERAGE(ECGLCS2)),"",MROUND(AVERAGE(ECGLCS2),0.5))</f>
        <v/>
      </c>
    </row>
    <row r="46" spans="1:11">
      <c r="A46" s="2" t="s">
        <v>22</v>
      </c>
      <c r="B46" s="2"/>
      <c r="C46" s="2"/>
      <c r="D46" s="2"/>
      <c r="E46" s="2"/>
      <c r="F46" s="2" t="s">
        <v>22</v>
      </c>
      <c r="G46" s="2"/>
      <c r="H46" s="2"/>
      <c r="I46" s="2"/>
    </row>
    <row r="47" spans="1:11">
      <c r="A47" s="16"/>
      <c r="B47" s="16"/>
      <c r="C47" s="16"/>
      <c r="D47" s="3"/>
      <c r="E47" s="3"/>
      <c r="F47" s="16"/>
      <c r="G47" s="16"/>
      <c r="H47" s="16"/>
      <c r="I47" s="3"/>
    </row>
    <row r="48" spans="1:11" ht="14.65" thickBot="1">
      <c r="A48" s="13"/>
      <c r="B48" s="13"/>
      <c r="C48" s="13"/>
      <c r="D48" s="3"/>
      <c r="E48" s="3"/>
      <c r="F48" s="13"/>
      <c r="G48" s="13"/>
      <c r="H48" s="13"/>
      <c r="I48" s="3"/>
    </row>
    <row r="49" spans="1:9" ht="14.65" thickBot="1">
      <c r="A49" s="13"/>
      <c r="B49" s="13"/>
      <c r="C49" s="13"/>
      <c r="D49" s="6" t="str">
        <f>IF(ISERROR(AVERAGE(ECGSOS1)),"",MROUND(AVERAGE(ECGSOS1),0.5))</f>
        <v/>
      </c>
      <c r="E49" s="3"/>
      <c r="F49" s="13"/>
      <c r="G49" s="13"/>
      <c r="H49" s="13"/>
      <c r="I49" s="6" t="str">
        <f>IF(ISERROR(AVERAGE(ECGSOS2)),"",MROUND(AVERAGE(ECGSOS2),0.5))</f>
        <v/>
      </c>
    </row>
    <row r="50" spans="1:9" ht="14.65" thickBot="1">
      <c r="A50" s="2"/>
      <c r="B50" s="2"/>
      <c r="C50" s="2"/>
      <c r="D50" s="2"/>
      <c r="E50" s="2"/>
      <c r="F50" s="2"/>
      <c r="G50" s="2"/>
      <c r="H50" s="2"/>
      <c r="I50" s="2"/>
    </row>
    <row r="51" spans="1:9" ht="15" thickTop="1" thickBot="1">
      <c r="A51" s="2" t="s">
        <v>23</v>
      </c>
      <c r="B51" s="2"/>
      <c r="C51" s="2"/>
      <c r="D51" s="7" t="str">
        <f>IF(ISERROR(AVERAGE(ECGLCS1MOY,ECGSOS1MOY)),"",MROUND(AVERAGE(ECGLCS1MOY,ECGSOS1MOY),0.5))</f>
        <v/>
      </c>
      <c r="E51" s="2"/>
      <c r="F51" s="2" t="s">
        <v>23</v>
      </c>
      <c r="G51" s="2"/>
      <c r="H51" s="2"/>
      <c r="I51" s="7" t="str">
        <f>IF(ISERROR(AVERAGE(ECGLCS2MOY,ECGSOS2MOY)),"",MROUND(AVERAGE(ECGLCS2MOY,ECGSOS2MOY),0.5))</f>
        <v/>
      </c>
    </row>
    <row r="52" spans="1:9" ht="14.65" thickTop="1"/>
    <row r="54" spans="1:9">
      <c r="A54" s="2" t="s">
        <v>24</v>
      </c>
    </row>
    <row r="55" spans="1:9">
      <c r="A55" s="2" t="s">
        <v>25</v>
      </c>
    </row>
    <row r="69" spans="26:26">
      <c r="Z69" s="17">
        <v>6</v>
      </c>
    </row>
    <row r="70" spans="26:26">
      <c r="Z70" s="17">
        <v>5.5</v>
      </c>
    </row>
    <row r="71" spans="26:26">
      <c r="Z71" s="17">
        <v>5</v>
      </c>
    </row>
    <row r="72" spans="26:26">
      <c r="Z72" s="17">
        <v>4.5</v>
      </c>
    </row>
    <row r="73" spans="26:26">
      <c r="Z73" s="17">
        <v>4</v>
      </c>
    </row>
    <row r="74" spans="26:26">
      <c r="Z74" s="17">
        <v>3.5</v>
      </c>
    </row>
    <row r="75" spans="26:26">
      <c r="Z75" s="17">
        <v>3</v>
      </c>
    </row>
    <row r="76" spans="26:26">
      <c r="Z76" s="17">
        <v>2.5</v>
      </c>
    </row>
    <row r="77" spans="26:26">
      <c r="Z77" s="17">
        <v>2</v>
      </c>
    </row>
    <row r="78" spans="26:26">
      <c r="Z78" s="17">
        <v>1.5</v>
      </c>
    </row>
    <row r="79" spans="26:26">
      <c r="Z79" s="17">
        <v>1</v>
      </c>
    </row>
  </sheetData>
  <sheetProtection sheet="1" selectLockedCells="1"/>
  <mergeCells count="12">
    <mergeCell ref="J21:K24"/>
    <mergeCell ref="J28:K31"/>
    <mergeCell ref="J32:K35"/>
    <mergeCell ref="A1:I1"/>
    <mergeCell ref="A5:I5"/>
    <mergeCell ref="A7:C7"/>
    <mergeCell ref="F7:H7"/>
    <mergeCell ref="A41:I41"/>
    <mergeCell ref="D10:D24"/>
    <mergeCell ref="I10:I24"/>
    <mergeCell ref="D29:D35"/>
    <mergeCell ref="I29:I35"/>
  </mergeCells>
  <conditionalFormatting sqref="A11:B11">
    <cfRule type="containsBlanks" dxfId="191" priority="46">
      <formula>LEN(TRIM(A11))=0</formula>
    </cfRule>
    <cfRule type="cellIs" dxfId="190" priority="47" operator="lessThan">
      <formula>4</formula>
    </cfRule>
  </conditionalFormatting>
  <conditionalFormatting sqref="A10:C10 F10:G10 A14:C16 F14:H16 A18:C20 F18:H20 A43:C45 F43:H45 A47:C49 F47:H49 C11">
    <cfRule type="cellIs" dxfId="189" priority="101" operator="lessThan">
      <formula>4</formula>
    </cfRule>
  </conditionalFormatting>
  <conditionalFormatting sqref="A12:C12 D39 I39 D45 I45 D49 I49 D51 I51">
    <cfRule type="cellIs" dxfId="188" priority="102" operator="lessThan">
      <formula>4</formula>
    </cfRule>
  </conditionalFormatting>
  <conditionalFormatting sqref="A22:C22">
    <cfRule type="containsBlanks" dxfId="187" priority="55">
      <formula>LEN(TRIM(A22))=0</formula>
    </cfRule>
  </conditionalFormatting>
  <conditionalFormatting sqref="A22:C24">
    <cfRule type="cellIs" dxfId="186" priority="56" operator="lessThan">
      <formula>4</formula>
    </cfRule>
  </conditionalFormatting>
  <conditionalFormatting sqref="A23:C24">
    <cfRule type="containsBlanks" dxfId="185" priority="54">
      <formula>LEN(TRIM(A23))=0</formula>
    </cfRule>
  </conditionalFormatting>
  <conditionalFormatting sqref="A29:C29">
    <cfRule type="containsBlanks" dxfId="184" priority="29">
      <formula>LEN(TRIM(A29))=0</formula>
    </cfRule>
  </conditionalFormatting>
  <conditionalFormatting sqref="A29:C31">
    <cfRule type="cellIs" dxfId="183" priority="30" operator="lessThan">
      <formula>4</formula>
    </cfRule>
  </conditionalFormatting>
  <conditionalFormatting sqref="A30:C31">
    <cfRule type="containsBlanks" dxfId="182" priority="28">
      <formula>LEN(TRIM(A30))=0</formula>
    </cfRule>
  </conditionalFormatting>
  <conditionalFormatting sqref="A33:C33">
    <cfRule type="containsBlanks" dxfId="181" priority="20">
      <formula>LEN(TRIM(A33))=0</formula>
    </cfRule>
  </conditionalFormatting>
  <conditionalFormatting sqref="A33:C35">
    <cfRule type="cellIs" dxfId="180" priority="21" operator="lessThan">
      <formula>4</formula>
    </cfRule>
  </conditionalFormatting>
  <conditionalFormatting sqref="A34:C35">
    <cfRule type="containsBlanks" dxfId="179" priority="19">
      <formula>LEN(TRIM(A34))=0</formula>
    </cfRule>
  </conditionalFormatting>
  <conditionalFormatting sqref="C10:C11 A12:C12 A15:C16 F15:H16 A19:C20 F19:H20 A44:C45 F44:H45 A48:C49 F48:H49">
    <cfRule type="containsBlanks" dxfId="178" priority="99">
      <formula>LEN(TRIM(A10))=0</formula>
    </cfRule>
  </conditionalFormatting>
  <conditionalFormatting sqref="C14">
    <cfRule type="containsBlanks" dxfId="177" priority="66">
      <formula>LEN(TRIM(C14))=0</formula>
    </cfRule>
    <cfRule type="containsBlanks" dxfId="176" priority="63">
      <formula>LEN(TRIM(C14))=0</formula>
    </cfRule>
    <cfRule type="containsBlanks" dxfId="175" priority="37">
      <formula>LEN(TRIM(C14))=0</formula>
    </cfRule>
    <cfRule type="containsBlanks" dxfId="174" priority="64">
      <formula>LEN(TRIM(C14))=0</formula>
    </cfRule>
    <cfRule type="containsBlanks" dxfId="173" priority="65">
      <formula>LEN(TRIM(C14))=0</formula>
    </cfRule>
  </conditionalFormatting>
  <conditionalFormatting sqref="C18">
    <cfRule type="containsBlanks" dxfId="172" priority="34">
      <formula>LEN(TRIM(C18))=0</formula>
    </cfRule>
  </conditionalFormatting>
  <conditionalFormatting sqref="C22">
    <cfRule type="containsBlanks" dxfId="171" priority="13">
      <formula>LEN(TRIM(C22))=0</formula>
    </cfRule>
  </conditionalFormatting>
  <conditionalFormatting sqref="C29">
    <cfRule type="containsBlanks" dxfId="170" priority="10">
      <formula>LEN(TRIM(C29))=0</formula>
    </cfRule>
  </conditionalFormatting>
  <conditionalFormatting sqref="D26">
    <cfRule type="cellIs" dxfId="169" priority="57" operator="lessThan">
      <formula>4</formula>
    </cfRule>
  </conditionalFormatting>
  <conditionalFormatting sqref="D37">
    <cfRule type="cellIs" dxfId="168" priority="5" operator="lessThan">
      <formula>4</formula>
    </cfRule>
  </conditionalFormatting>
  <conditionalFormatting sqref="F10:G10 A14:C14 F14:H14 A18:C18 F18:H18 A10:B10 A43:C43 F43:H43 A47:C47 F47:H47">
    <cfRule type="containsBlanks" dxfId="167" priority="100">
      <formula>LEN(TRIM(A10))=0</formula>
    </cfRule>
  </conditionalFormatting>
  <conditionalFormatting sqref="F10:G10">
    <cfRule type="containsBlanks" dxfId="166" priority="93">
      <formula>LEN(TRIM(F10))=0</formula>
    </cfRule>
    <cfRule type="containsBlanks" dxfId="165" priority="87">
      <formula>LEN(TRIM(F10))=0</formula>
    </cfRule>
  </conditionalFormatting>
  <conditionalFormatting sqref="F22:G22">
    <cfRule type="containsBlanks" dxfId="164" priority="51">
      <formula>LEN(TRIM(F22))=0</formula>
    </cfRule>
    <cfRule type="cellIs" dxfId="163" priority="52" operator="lessThan">
      <formula>4</formula>
    </cfRule>
  </conditionalFormatting>
  <conditionalFormatting sqref="F29:G29">
    <cfRule type="containsBlanks" dxfId="162" priority="25">
      <formula>LEN(TRIM(F29))=0</formula>
    </cfRule>
    <cfRule type="cellIs" dxfId="161" priority="26" operator="lessThan">
      <formula>4</formula>
    </cfRule>
  </conditionalFormatting>
  <conditionalFormatting sqref="F11:H12">
    <cfRule type="containsBlanks" dxfId="160" priority="41">
      <formula>LEN(TRIM(F11))=0</formula>
    </cfRule>
    <cfRule type="cellIs" dxfId="159" priority="42" operator="lessThan">
      <formula>4</formula>
    </cfRule>
  </conditionalFormatting>
  <conditionalFormatting sqref="F23:H24">
    <cfRule type="cellIs" dxfId="158" priority="44" operator="lessThan">
      <formula>4</formula>
    </cfRule>
    <cfRule type="containsBlanks" dxfId="157" priority="43">
      <formula>LEN(TRIM(F23))=0</formula>
    </cfRule>
  </conditionalFormatting>
  <conditionalFormatting sqref="F30:H31">
    <cfRule type="cellIs" dxfId="156" priority="24" operator="lessThan">
      <formula>4</formula>
    </cfRule>
    <cfRule type="containsBlanks" dxfId="155" priority="23">
      <formula>LEN(TRIM(F30))=0</formula>
    </cfRule>
  </conditionalFormatting>
  <conditionalFormatting sqref="F33:H33">
    <cfRule type="containsBlanks" dxfId="154" priority="16">
      <formula>LEN(TRIM(F33))=0</formula>
    </cfRule>
    <cfRule type="cellIs" dxfId="153" priority="17" operator="lessThan">
      <formula>4</formula>
    </cfRule>
  </conditionalFormatting>
  <conditionalFormatting sqref="F34:H35">
    <cfRule type="containsBlanks" dxfId="152" priority="14">
      <formula>LEN(TRIM(F34))=0</formula>
    </cfRule>
    <cfRule type="cellIs" dxfId="151" priority="15" operator="lessThan">
      <formula>4</formula>
    </cfRule>
  </conditionalFormatting>
  <conditionalFormatting sqref="H10">
    <cfRule type="containsBlanks" dxfId="150" priority="39">
      <formula>LEN(TRIM(H10))=0</formula>
    </cfRule>
    <cfRule type="cellIs" dxfId="149" priority="40" operator="lessThan">
      <formula>4</formula>
    </cfRule>
  </conditionalFormatting>
  <conditionalFormatting sqref="H14">
    <cfRule type="containsBlanks" dxfId="148" priority="35">
      <formula>LEN(TRIM(H14))=0</formula>
    </cfRule>
    <cfRule type="containsBlanks" dxfId="147" priority="61">
      <formula>LEN(TRIM(H14))=0</formula>
    </cfRule>
    <cfRule type="containsBlanks" dxfId="146" priority="62">
      <formula>LEN(TRIM(H14))=0</formula>
    </cfRule>
  </conditionalFormatting>
  <conditionalFormatting sqref="H18">
    <cfRule type="containsBlanks" dxfId="145" priority="32">
      <formula>LEN(TRIM(H18))=0</formula>
    </cfRule>
  </conditionalFormatting>
  <conditionalFormatting sqref="H22">
    <cfRule type="containsBlanks" dxfId="144" priority="11">
      <formula>LEN(TRIM(H22))=0</formula>
    </cfRule>
    <cfRule type="cellIs" dxfId="143" priority="12" operator="lessThan">
      <formula>4</formula>
    </cfRule>
  </conditionalFormatting>
  <conditionalFormatting sqref="H29">
    <cfRule type="containsBlanks" dxfId="142" priority="6">
      <formula>LEN(TRIM(H29))=0</formula>
    </cfRule>
    <cfRule type="cellIs" dxfId="141" priority="7" operator="lessThan">
      <formula>4</formula>
    </cfRule>
  </conditionalFormatting>
  <conditionalFormatting sqref="H3526">
    <cfRule type="cellIs" dxfId="140" priority="103" operator="lessThan">
      <formula>4</formula>
    </cfRule>
  </conditionalFormatting>
  <conditionalFormatting sqref="I26">
    <cfRule type="cellIs" dxfId="139" priority="53" operator="lessThan">
      <formula>4</formula>
    </cfRule>
  </conditionalFormatting>
  <conditionalFormatting sqref="I37">
    <cfRule type="cellIs" dxfId="138" priority="4" operator="lessThan">
      <formula>4</formula>
    </cfRule>
  </conditionalFormatting>
  <conditionalFormatting sqref="J21:K24">
    <cfRule type="expression" dxfId="137" priority="3">
      <formula>$J$21&lt;&gt;""</formula>
    </cfRule>
  </conditionalFormatting>
  <conditionalFormatting sqref="J28:K31">
    <cfRule type="expression" dxfId="136" priority="2">
      <formula>$J$28&lt;&gt;""</formula>
    </cfRule>
  </conditionalFormatting>
  <conditionalFormatting sqref="J32:K35">
    <cfRule type="expression" dxfId="135" priority="1">
      <formula>$J$32&lt;&gt;""</formula>
    </cfRule>
  </conditionalFormatting>
  <dataValidations count="2">
    <dataValidation type="list" allowBlank="1" showErrorMessage="1" errorTitle="ERREUR" error="Valeur des notes uniquement entre 1 et 6 par saut de 0.5." sqref="B28:C28" xr:uid="{BD577849-B1DE-4B5E-9A20-5A2E443F96E7}">
      <formula1>$Z$69:$Z$78</formula1>
    </dataValidation>
    <dataValidation type="list" allowBlank="1" showErrorMessage="1" errorTitle="ERREUR" error="Valeur des notes uniquement entre 1 et 6 par saut de 0.5." sqref="F33:H35 A33:C35 A10:C12 F10:H12 F14:H16 A43:C45 F43:H45 A47:C49 A18:C20 F18:H20 A14:C16 F47:H49 A29:C31 F22:H24 A22:C24 F29:H31" xr:uid="{7D1F0D9D-9015-4AB2-89BE-941B753C28BC}">
      <formula1>$Z$69:$Z$79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BEC-4892-4CED-8175-6C4B918B2990}">
  <dimension ref="A1:Z76"/>
  <sheetViews>
    <sheetView showGridLines="0" topLeftCell="A12" zoomScaleNormal="100" workbookViewId="0">
      <selection activeCell="D3" sqref="D3"/>
    </sheetView>
  </sheetViews>
  <sheetFormatPr defaultColWidth="11.42578125" defaultRowHeight="14.25"/>
  <cols>
    <col min="1" max="9" width="8.85546875" customWidth="1"/>
    <col min="26" max="26" width="11.5703125" style="17"/>
  </cols>
  <sheetData>
    <row r="1" spans="1:9" ht="4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3" spans="1:9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9" ht="30" customHeight="1">
      <c r="A5" s="23" t="s">
        <v>2</v>
      </c>
      <c r="B5" s="23"/>
      <c r="C5" s="23"/>
      <c r="D5" s="23"/>
      <c r="E5" s="23"/>
      <c r="F5" s="23"/>
      <c r="G5" s="23"/>
      <c r="H5" s="23"/>
      <c r="I5" s="23"/>
    </row>
    <row r="7" spans="1:9">
      <c r="A7" s="27" t="s">
        <v>26</v>
      </c>
      <c r="B7" s="27"/>
      <c r="C7" s="27"/>
      <c r="D7" s="8" t="s">
        <v>4</v>
      </c>
      <c r="E7" s="9"/>
      <c r="F7" s="27" t="s">
        <v>27</v>
      </c>
      <c r="G7" s="27"/>
      <c r="H7" s="27"/>
      <c r="I7" s="8" t="s">
        <v>4</v>
      </c>
    </row>
    <row r="8" spans="1:9">
      <c r="A8" s="19"/>
      <c r="B8" s="19"/>
      <c r="C8" s="19"/>
      <c r="D8" s="8"/>
      <c r="E8" s="9"/>
      <c r="F8" s="19"/>
      <c r="G8" s="19"/>
      <c r="H8" s="19"/>
      <c r="I8" s="8"/>
    </row>
    <row r="9" spans="1:9">
      <c r="A9" s="2" t="s">
        <v>28</v>
      </c>
      <c r="B9" s="2"/>
      <c r="C9" s="2"/>
      <c r="D9" s="2"/>
      <c r="E9" s="2"/>
      <c r="F9" s="2" t="s">
        <v>28</v>
      </c>
      <c r="G9" s="2"/>
      <c r="H9" s="2"/>
      <c r="I9" s="2"/>
    </row>
    <row r="10" spans="1:9">
      <c r="A10" s="16"/>
      <c r="B10" s="16"/>
      <c r="C10" s="13"/>
      <c r="D10" s="24" t="s">
        <v>7</v>
      </c>
      <c r="E10" s="3"/>
      <c r="F10" s="16"/>
      <c r="G10" s="16"/>
      <c r="H10" s="13"/>
      <c r="I10" s="24" t="s">
        <v>7</v>
      </c>
    </row>
    <row r="11" spans="1:9">
      <c r="A11" s="13"/>
      <c r="B11" s="13"/>
      <c r="C11" s="13"/>
      <c r="D11" s="24"/>
      <c r="E11" s="3"/>
      <c r="F11" s="13"/>
      <c r="G11" s="13"/>
      <c r="H11" s="13"/>
      <c r="I11" s="24"/>
    </row>
    <row r="12" spans="1:9">
      <c r="A12" s="13"/>
      <c r="B12" s="13"/>
      <c r="C12" s="13"/>
      <c r="D12" s="24"/>
      <c r="E12" s="3"/>
      <c r="F12" s="13"/>
      <c r="G12" s="13"/>
      <c r="H12" s="13"/>
      <c r="I12" s="24"/>
    </row>
    <row r="13" spans="1:9">
      <c r="A13" s="2" t="s">
        <v>29</v>
      </c>
      <c r="D13" s="24"/>
      <c r="E13" s="2"/>
      <c r="F13" s="2" t="s">
        <v>29</v>
      </c>
      <c r="I13" s="24"/>
    </row>
    <row r="14" spans="1:9">
      <c r="A14" s="16"/>
      <c r="B14" s="16"/>
      <c r="C14" s="13"/>
      <c r="D14" s="24"/>
      <c r="E14" s="3"/>
      <c r="F14" s="16"/>
      <c r="G14" s="16"/>
      <c r="H14" s="13"/>
      <c r="I14" s="24"/>
    </row>
    <row r="15" spans="1:9">
      <c r="A15" s="13"/>
      <c r="B15" s="13"/>
      <c r="C15" s="13"/>
      <c r="D15" s="24"/>
      <c r="E15" s="3"/>
      <c r="F15" s="13"/>
      <c r="G15" s="13"/>
      <c r="H15" s="13"/>
      <c r="I15" s="24"/>
    </row>
    <row r="16" spans="1:9">
      <c r="A16" s="13"/>
      <c r="B16" s="13"/>
      <c r="C16" s="13"/>
      <c r="D16" s="24"/>
      <c r="E16" s="3"/>
      <c r="F16" s="13"/>
      <c r="G16" s="13"/>
      <c r="H16" s="13"/>
      <c r="I16" s="24"/>
    </row>
    <row r="17" spans="1:11">
      <c r="A17" s="2" t="s">
        <v>30</v>
      </c>
      <c r="B17" s="2"/>
      <c r="C17" s="2"/>
      <c r="D17" s="24"/>
      <c r="E17" s="2"/>
      <c r="F17" s="2" t="s">
        <v>30</v>
      </c>
      <c r="G17" s="2"/>
      <c r="H17" s="2"/>
      <c r="I17" s="24"/>
    </row>
    <row r="18" spans="1:11">
      <c r="A18" s="16"/>
      <c r="B18" s="16"/>
      <c r="C18" s="13"/>
      <c r="D18" s="24"/>
      <c r="E18" s="3"/>
      <c r="F18" s="16"/>
      <c r="G18" s="16"/>
      <c r="H18" s="13"/>
      <c r="I18" s="24"/>
    </row>
    <row r="19" spans="1:11">
      <c r="A19" s="13"/>
      <c r="B19" s="13"/>
      <c r="C19" s="13"/>
      <c r="D19" s="24"/>
      <c r="E19" s="3"/>
      <c r="F19" s="13"/>
      <c r="G19" s="13"/>
      <c r="H19" s="13"/>
      <c r="I19" s="24"/>
    </row>
    <row r="20" spans="1:11" ht="14.45" customHeight="1">
      <c r="A20" s="13"/>
      <c r="B20" s="13"/>
      <c r="C20" s="13"/>
      <c r="D20" s="24"/>
      <c r="E20" s="3"/>
      <c r="F20" s="13"/>
      <c r="G20" s="13"/>
      <c r="H20" s="13"/>
      <c r="I20" s="24"/>
    </row>
    <row r="21" spans="1:11" ht="14.65" thickBot="1"/>
    <row r="22" spans="1:11" ht="14.65" thickBot="1">
      <c r="A22" s="2" t="s">
        <v>31</v>
      </c>
      <c r="D22" s="6" t="str">
        <f>IF(ISERROR(AVERAGE(DCOABCS3)),"",MROUND(AVERAGE(DCOABCS3),0.5))</f>
        <v/>
      </c>
      <c r="F22" s="2" t="s">
        <v>32</v>
      </c>
      <c r="I22" s="6" t="str">
        <f>IF(ISERROR(AVERAGE(DCOABCS4)),"",MROUND(AVERAGE(DCOABCS4),0.5))</f>
        <v/>
      </c>
    </row>
    <row r="24" spans="1:11">
      <c r="A24" s="20" t="s">
        <v>33</v>
      </c>
      <c r="B24" s="21"/>
      <c r="C24" s="21"/>
      <c r="F24" s="20" t="s">
        <v>33</v>
      </c>
      <c r="G24" s="21"/>
      <c r="H24" s="21"/>
      <c r="J24" s="25" t="str">
        <f>IF(AND(COUNT(DCODI24S3)&gt;0,COUNT(DCODI24S4)&gt;0),"CONFLIT : Supprimez les notes du semestre non concerné (S3 OU S4 uniquement).","")</f>
        <v/>
      </c>
      <c r="K24" s="25"/>
    </row>
    <row r="25" spans="1:11">
      <c r="A25" s="16"/>
      <c r="B25" s="16"/>
      <c r="C25" s="13"/>
      <c r="D25" s="24" t="s">
        <v>14</v>
      </c>
      <c r="E25" s="3"/>
      <c r="F25" s="16"/>
      <c r="G25" s="16"/>
      <c r="H25" s="13"/>
      <c r="I25" s="24" t="s">
        <v>14</v>
      </c>
      <c r="J25" s="25"/>
      <c r="K25" s="25"/>
    </row>
    <row r="26" spans="1:11">
      <c r="A26" s="13"/>
      <c r="B26" s="13"/>
      <c r="C26" s="13"/>
      <c r="D26" s="24"/>
      <c r="E26" s="3"/>
      <c r="F26" s="13"/>
      <c r="G26" s="13"/>
      <c r="H26" s="13"/>
      <c r="I26" s="24"/>
      <c r="J26" s="25"/>
      <c r="K26" s="25"/>
    </row>
    <row r="27" spans="1:11">
      <c r="A27" s="13"/>
      <c r="B27" s="13"/>
      <c r="C27" s="13"/>
      <c r="D27" s="24"/>
      <c r="E27" s="3"/>
      <c r="F27" s="13"/>
      <c r="G27" s="13"/>
      <c r="H27" s="13"/>
      <c r="I27" s="24"/>
      <c r="J27" s="25"/>
      <c r="K27" s="25"/>
    </row>
    <row r="28" spans="1:11" ht="14.25" customHeight="1">
      <c r="A28" s="20" t="s">
        <v>34</v>
      </c>
      <c r="B28" s="21"/>
      <c r="C28" s="21"/>
      <c r="D28" s="24"/>
      <c r="E28" s="2"/>
      <c r="F28" s="20" t="s">
        <v>34</v>
      </c>
      <c r="G28" s="21"/>
      <c r="H28" s="21"/>
      <c r="I28" s="24"/>
      <c r="J28" s="25" t="str">
        <f>IF(AND(COUNT(DCODI25S3)&gt;0,COUNT(DCODI25S4)&gt;0),"CONFLIT : Supprimez les notes du semestre non concerné (S3 OU S4 uniquement).","")</f>
        <v/>
      </c>
      <c r="K28" s="25"/>
    </row>
    <row r="29" spans="1:11">
      <c r="A29" s="16"/>
      <c r="B29" s="16"/>
      <c r="C29" s="16"/>
      <c r="D29" s="24"/>
      <c r="E29" s="3"/>
      <c r="F29" s="16"/>
      <c r="G29" s="16"/>
      <c r="H29" s="16"/>
      <c r="I29" s="24"/>
      <c r="J29" s="25"/>
      <c r="K29" s="25"/>
    </row>
    <row r="30" spans="1:11">
      <c r="A30" s="13"/>
      <c r="B30" s="13"/>
      <c r="C30" s="13"/>
      <c r="D30" s="24"/>
      <c r="E30" s="3"/>
      <c r="F30" s="13"/>
      <c r="G30" s="13"/>
      <c r="H30" s="13"/>
      <c r="I30" s="24"/>
      <c r="J30" s="25"/>
      <c r="K30" s="25"/>
    </row>
    <row r="31" spans="1:11">
      <c r="A31" s="13"/>
      <c r="B31" s="13"/>
      <c r="C31" s="13"/>
      <c r="D31" s="24"/>
      <c r="E31" s="3"/>
      <c r="F31" s="13"/>
      <c r="G31" s="13"/>
      <c r="H31" s="13"/>
      <c r="I31" s="24"/>
      <c r="J31" s="25"/>
      <c r="K31" s="25"/>
    </row>
    <row r="32" spans="1:11">
      <c r="A32" s="20" t="s">
        <v>35</v>
      </c>
      <c r="B32" s="21"/>
      <c r="C32" s="21"/>
      <c r="D32" s="24"/>
      <c r="E32" s="2"/>
      <c r="F32" s="20" t="s">
        <v>35</v>
      </c>
      <c r="G32" s="21"/>
      <c r="H32" s="21"/>
      <c r="I32" s="24"/>
      <c r="J32" s="25" t="str">
        <f>IF(AND(COUNT(DCODI26S3)&gt;0,COUNT(DCODI26S4)&gt;0),"CONFLIT : Supprimez les notes du semestre non concerné (S3 OU S4 uniquement).","")</f>
        <v/>
      </c>
      <c r="K32" s="25"/>
    </row>
    <row r="33" spans="1:11">
      <c r="A33" s="16"/>
      <c r="B33" s="16"/>
      <c r="C33" s="13"/>
      <c r="D33" s="24"/>
      <c r="E33" s="3"/>
      <c r="F33" s="16"/>
      <c r="G33" s="16"/>
      <c r="H33" s="13"/>
      <c r="I33" s="24"/>
      <c r="J33" s="25"/>
      <c r="K33" s="25"/>
    </row>
    <row r="34" spans="1:11">
      <c r="A34" s="13"/>
      <c r="B34" s="13"/>
      <c r="C34" s="13"/>
      <c r="D34" s="24"/>
      <c r="E34" s="3"/>
      <c r="F34" s="13"/>
      <c r="G34" s="13"/>
      <c r="H34" s="13"/>
      <c r="I34" s="24"/>
      <c r="J34" s="25"/>
      <c r="K34" s="25"/>
    </row>
    <row r="35" spans="1:11">
      <c r="A35" s="13"/>
      <c r="B35" s="13"/>
      <c r="C35" s="13"/>
      <c r="D35" s="24"/>
      <c r="E35" s="3"/>
      <c r="F35" s="13"/>
      <c r="G35" s="13"/>
      <c r="H35" s="13"/>
      <c r="I35" s="24"/>
      <c r="J35" s="25"/>
      <c r="K35" s="25"/>
    </row>
    <row r="36" spans="1:11" ht="14.65" thickBot="1"/>
    <row r="37" spans="1:11" ht="14.65" thickBot="1">
      <c r="A37" s="2" t="s">
        <v>36</v>
      </c>
      <c r="D37" s="6" t="str">
        <f>IF(ISERROR(AVERAGE(DCODS3)),"",MROUND(AVERAGE(DCODS3),0.5))</f>
        <v/>
      </c>
      <c r="F37" s="2" t="s">
        <v>37</v>
      </c>
      <c r="I37" s="6" t="str">
        <f>IF(ISERROR(AVERAGE(DCODS4)),"",MROUND(AVERAGE(DCODS4),0.5))</f>
        <v/>
      </c>
    </row>
    <row r="38" spans="1:11" ht="14.65" thickBot="1"/>
    <row r="39" spans="1:11" ht="15" thickTop="1" thickBot="1">
      <c r="A39" s="2" t="s">
        <v>38</v>
      </c>
      <c r="B39" s="2"/>
      <c r="C39" s="2"/>
      <c r="D39" s="7" t="str">
        <f>IF(ISERROR(AVERAGE(DCOABCS3MOY,DCODS3MOY)),"",MROUND(AVERAGE(DCOABCS3MOY,DCODS3MOY),0.5))</f>
        <v/>
      </c>
      <c r="E39" s="2"/>
      <c r="F39" s="2" t="s">
        <v>39</v>
      </c>
      <c r="G39" s="2"/>
      <c r="H39" s="2"/>
      <c r="I39" s="7" t="str">
        <f>IF(ISERROR(AVERAGE(DCOABCS4MOY,DCODS4MOY)),"",MROUND(AVERAGE(DCOABCS4MOY,DCODS4MOY),0.5))</f>
        <v/>
      </c>
    </row>
    <row r="40" spans="1:11" ht="14.65" thickTop="1"/>
    <row r="41" spans="1:11" ht="20.25">
      <c r="A41" s="23" t="s">
        <v>20</v>
      </c>
      <c r="B41" s="23"/>
      <c r="C41" s="23"/>
      <c r="D41" s="23"/>
      <c r="E41" s="23"/>
      <c r="F41" s="23"/>
      <c r="G41" s="23"/>
      <c r="H41" s="23"/>
      <c r="I41" s="23"/>
    </row>
    <row r="42" spans="1:11">
      <c r="A42" s="2" t="s">
        <v>21</v>
      </c>
      <c r="B42" s="2"/>
      <c r="C42" s="2"/>
      <c r="D42" s="2"/>
      <c r="E42" s="2"/>
      <c r="F42" s="2" t="s">
        <v>21</v>
      </c>
      <c r="G42" s="2"/>
      <c r="H42" s="2"/>
      <c r="I42" s="2"/>
    </row>
    <row r="43" spans="1:11">
      <c r="A43" s="16"/>
      <c r="B43" s="16"/>
      <c r="C43" s="16"/>
      <c r="D43" s="3"/>
      <c r="E43" s="3"/>
      <c r="F43" s="16"/>
      <c r="G43" s="16"/>
      <c r="H43" s="16"/>
      <c r="I43" s="3"/>
    </row>
    <row r="44" spans="1:11" ht="14.65" thickBot="1">
      <c r="A44" s="13"/>
      <c r="B44" s="13"/>
      <c r="C44" s="13"/>
      <c r="D44" s="3"/>
      <c r="E44" s="3"/>
      <c r="F44" s="13"/>
      <c r="G44" s="13"/>
      <c r="H44" s="13"/>
      <c r="I44" s="3"/>
    </row>
    <row r="45" spans="1:11" ht="14.65" thickBot="1">
      <c r="A45" s="13"/>
      <c r="B45" s="13"/>
      <c r="C45" s="13"/>
      <c r="D45" s="6" t="str">
        <f>IF(ISERROR(AVERAGE(ECGLCS3)),"",MROUND(AVERAGE(ECGLCS3),0.5))</f>
        <v/>
      </c>
      <c r="E45" s="3"/>
      <c r="F45" s="13"/>
      <c r="G45" s="13"/>
      <c r="H45" s="13"/>
      <c r="I45" s="6" t="str">
        <f>IF(ISERROR(AVERAGE(ECGLCS4)),"",MROUND(AVERAGE(ECGLCS4),0.5))</f>
        <v/>
      </c>
    </row>
    <row r="46" spans="1:11">
      <c r="A46" s="2"/>
      <c r="B46" s="2"/>
      <c r="C46" s="2"/>
      <c r="D46" s="2"/>
      <c r="E46" s="2"/>
      <c r="F46" s="2" t="s">
        <v>22</v>
      </c>
      <c r="G46" s="2"/>
      <c r="H46" s="2"/>
      <c r="I46" s="2"/>
    </row>
    <row r="47" spans="1:11">
      <c r="A47" s="16"/>
      <c r="B47" s="16"/>
      <c r="C47" s="16"/>
      <c r="D47" s="3"/>
      <c r="E47" s="3"/>
      <c r="F47" s="16"/>
      <c r="G47" s="16"/>
      <c r="H47" s="16"/>
      <c r="I47" s="3"/>
    </row>
    <row r="48" spans="1:11" ht="14.65" thickBot="1">
      <c r="A48" s="13"/>
      <c r="B48" s="13"/>
      <c r="C48" s="13"/>
      <c r="D48" s="3"/>
      <c r="E48" s="3"/>
      <c r="F48" s="13"/>
      <c r="G48" s="13"/>
      <c r="H48" s="13"/>
      <c r="I48" s="3"/>
    </row>
    <row r="49" spans="1:9" ht="14.65" thickBot="1">
      <c r="A49" s="13"/>
      <c r="B49" s="13"/>
      <c r="C49" s="13"/>
      <c r="D49" s="6" t="str">
        <f>IF(ISERROR(AVERAGE(ECGSOS3)),"",MROUND(AVERAGE(ECGSOS3),0.5))</f>
        <v/>
      </c>
      <c r="E49" s="3"/>
      <c r="F49" s="13"/>
      <c r="G49" s="13"/>
      <c r="H49" s="13"/>
      <c r="I49" s="6" t="str">
        <f>IF(ISERROR(AVERAGE(ECGSOS4)),"",MROUND(AVERAGE(ECGSOS4),0.5))</f>
        <v/>
      </c>
    </row>
    <row r="50" spans="1:9" ht="14.65" thickBot="1">
      <c r="A50" s="2"/>
      <c r="B50" s="2"/>
      <c r="C50" s="2"/>
      <c r="D50" s="2"/>
      <c r="E50" s="2"/>
      <c r="F50" s="2"/>
      <c r="G50" s="2"/>
      <c r="H50" s="2"/>
      <c r="I50" s="2"/>
    </row>
    <row r="51" spans="1:9" ht="15" thickTop="1" thickBot="1">
      <c r="A51" s="2" t="s">
        <v>23</v>
      </c>
      <c r="B51" s="2"/>
      <c r="C51" s="2"/>
      <c r="D51" s="7" t="str">
        <f>IF(ISERROR(AVERAGE(ECGLCS3MOY,ECGSOS3MOY)),"",MROUND(AVERAGE(ECGLCS3MOY,ECGSOS3MOY),0.5))</f>
        <v/>
      </c>
      <c r="E51" s="2"/>
      <c r="F51" s="2" t="s">
        <v>23</v>
      </c>
      <c r="G51" s="2"/>
      <c r="H51" s="2"/>
      <c r="I51" s="7" t="str">
        <f>IF(ISERROR(AVERAGE(ECGLCS4MOY,ECGSOS4MOY)),"",MROUND(AVERAGE(ECGLCS4MOY,ECGSOS4MOY),0.5))</f>
        <v/>
      </c>
    </row>
    <row r="52" spans="1:9" ht="14.65" thickTop="1"/>
    <row r="54" spans="1:9">
      <c r="A54" s="2" t="s">
        <v>24</v>
      </c>
    </row>
    <row r="55" spans="1:9">
      <c r="A55" s="2" t="s">
        <v>25</v>
      </c>
    </row>
    <row r="66" spans="26:26">
      <c r="Z66" s="17">
        <v>6</v>
      </c>
    </row>
    <row r="67" spans="26:26">
      <c r="Z67" s="17">
        <v>5.5</v>
      </c>
    </row>
    <row r="68" spans="26:26">
      <c r="Z68" s="17">
        <v>5</v>
      </c>
    </row>
    <row r="69" spans="26:26">
      <c r="Z69" s="17">
        <v>4.5</v>
      </c>
    </row>
    <row r="70" spans="26:26">
      <c r="Z70" s="17">
        <v>4</v>
      </c>
    </row>
    <row r="71" spans="26:26">
      <c r="Z71" s="17">
        <v>3.5</v>
      </c>
    </row>
    <row r="72" spans="26:26">
      <c r="Z72" s="17">
        <v>3</v>
      </c>
    </row>
    <row r="73" spans="26:26">
      <c r="Z73" s="17">
        <v>2.5</v>
      </c>
    </row>
    <row r="74" spans="26:26">
      <c r="Z74" s="17">
        <v>2</v>
      </c>
    </row>
    <row r="75" spans="26:26">
      <c r="Z75" s="17">
        <v>1.5</v>
      </c>
    </row>
    <row r="76" spans="26:26">
      <c r="Z76" s="17">
        <v>1</v>
      </c>
    </row>
  </sheetData>
  <sheetProtection sheet="1" selectLockedCells="1"/>
  <mergeCells count="12">
    <mergeCell ref="J24:K27"/>
    <mergeCell ref="J28:K31"/>
    <mergeCell ref="J32:K35"/>
    <mergeCell ref="A1:I1"/>
    <mergeCell ref="A5:I5"/>
    <mergeCell ref="A7:C7"/>
    <mergeCell ref="F7:H7"/>
    <mergeCell ref="A41:I41"/>
    <mergeCell ref="D10:D20"/>
    <mergeCell ref="I10:I20"/>
    <mergeCell ref="D25:D35"/>
    <mergeCell ref="I25:I35"/>
  </mergeCells>
  <conditionalFormatting sqref="A10:B10 F10:G10 F14:G14 A14:C14">
    <cfRule type="cellIs" dxfId="134" priority="231" operator="lessThan">
      <formula>4</formula>
    </cfRule>
  </conditionalFormatting>
  <conditionalFormatting sqref="A14:B14">
    <cfRule type="containsBlanks" dxfId="133" priority="143">
      <formula>LEN(TRIM(A14))=0</formula>
    </cfRule>
  </conditionalFormatting>
  <conditionalFormatting sqref="A15:B16">
    <cfRule type="containsBlanks" dxfId="132" priority="34">
      <formula>LEN(TRIM(A15))=0</formula>
    </cfRule>
    <cfRule type="cellIs" dxfId="131" priority="35" operator="lessThan">
      <formula>4</formula>
    </cfRule>
  </conditionalFormatting>
  <conditionalFormatting sqref="A18:B18">
    <cfRule type="containsBlanks" dxfId="130" priority="305">
      <formula>LEN(TRIM(A18))=0</formula>
    </cfRule>
  </conditionalFormatting>
  <conditionalFormatting sqref="A25:B25">
    <cfRule type="containsBlanks" dxfId="129" priority="233">
      <formula>LEN(TRIM(A25))=0</formula>
    </cfRule>
  </conditionalFormatting>
  <conditionalFormatting sqref="A33:B33">
    <cfRule type="containsBlanks" dxfId="128" priority="62">
      <formula>LEN(TRIM(A33))=0</formula>
    </cfRule>
  </conditionalFormatting>
  <conditionalFormatting sqref="A11:C12">
    <cfRule type="containsBlanks" dxfId="127" priority="22">
      <formula>LEN(TRIM(A11))=0</formula>
    </cfRule>
    <cfRule type="cellIs" dxfId="126" priority="23" operator="lessThan">
      <formula>4</formula>
    </cfRule>
  </conditionalFormatting>
  <conditionalFormatting sqref="A19:C20">
    <cfRule type="cellIs" dxfId="125" priority="53" operator="lessThan">
      <formula>4</formula>
    </cfRule>
    <cfRule type="containsBlanks" dxfId="124" priority="52">
      <formula>LEN(TRIM(A19))=0</formula>
    </cfRule>
  </conditionalFormatting>
  <conditionalFormatting sqref="A26:C27 F26:H27 A44:C45 F44:H45 A48:C49 F48:H49">
    <cfRule type="containsBlanks" dxfId="123" priority="307">
      <formula>LEN(TRIM(A26))=0</formula>
    </cfRule>
  </conditionalFormatting>
  <conditionalFormatting sqref="A29:C29">
    <cfRule type="containsBlanks" dxfId="122" priority="69">
      <formula>LEN(TRIM(A29))=0</formula>
    </cfRule>
  </conditionalFormatting>
  <conditionalFormatting sqref="A29:C31 F29:H31">
    <cfRule type="cellIs" dxfId="121" priority="74" operator="lessThan">
      <formula>4</formula>
    </cfRule>
  </conditionalFormatting>
  <conditionalFormatting sqref="A30:C31 F30:H31">
    <cfRule type="containsBlanks" dxfId="120" priority="73">
      <formula>LEN(TRIM(A30))=0</formula>
    </cfRule>
  </conditionalFormatting>
  <conditionalFormatting sqref="A33:C35 F33:H35">
    <cfRule type="cellIs" dxfId="119" priority="67" operator="lessThan">
      <formula>4</formula>
    </cfRule>
  </conditionalFormatting>
  <conditionalFormatting sqref="A34:C35 F34:H35">
    <cfRule type="containsBlanks" dxfId="118" priority="66">
      <formula>LEN(TRIM(A34))=0</formula>
    </cfRule>
  </conditionalFormatting>
  <conditionalFormatting sqref="C10">
    <cfRule type="cellIs" dxfId="117" priority="21" operator="lessThan">
      <formula>4</formula>
    </cfRule>
    <cfRule type="containsBlanks" dxfId="116" priority="20">
      <formula>LEN(TRIM(C10))=0</formula>
    </cfRule>
  </conditionalFormatting>
  <conditionalFormatting sqref="C14:C16">
    <cfRule type="containsBlanks" dxfId="115" priority="121">
      <formula>LEN(TRIM(C14))=0</formula>
    </cfRule>
  </conditionalFormatting>
  <conditionalFormatting sqref="C15:C16">
    <cfRule type="cellIs" dxfId="114" priority="122" operator="lessThan">
      <formula>4</formula>
    </cfRule>
  </conditionalFormatting>
  <conditionalFormatting sqref="C18">
    <cfRule type="cellIs" dxfId="113" priority="51" operator="lessThan">
      <formula>4</formula>
    </cfRule>
    <cfRule type="containsBlanks" dxfId="112" priority="50">
      <formula>LEN(TRIM(C18))=0</formula>
    </cfRule>
  </conditionalFormatting>
  <conditionalFormatting sqref="C25">
    <cfRule type="containsBlanks" dxfId="111" priority="257">
      <formula>LEN(TRIM(C25))=0</formula>
    </cfRule>
  </conditionalFormatting>
  <conditionalFormatting sqref="C29">
    <cfRule type="containsBlanks" dxfId="110" priority="72">
      <formula>LEN(TRIM(C29))=0</formula>
    </cfRule>
  </conditionalFormatting>
  <conditionalFormatting sqref="C33">
    <cfRule type="containsBlanks" dxfId="109" priority="65">
      <formula>LEN(TRIM(C33))=0</formula>
    </cfRule>
  </conditionalFormatting>
  <conditionalFormatting sqref="D22">
    <cfRule type="cellIs" dxfId="108" priority="7" operator="lessThan">
      <formula>4</formula>
    </cfRule>
  </conditionalFormatting>
  <conditionalFormatting sqref="D37">
    <cfRule type="cellIs" dxfId="107" priority="5" operator="lessThan">
      <formula>4</formula>
    </cfRule>
  </conditionalFormatting>
  <conditionalFormatting sqref="D39 I39 D45 I45 D49 I49 D51 I51">
    <cfRule type="cellIs" dxfId="106" priority="310" operator="lessThan">
      <formula>4</formula>
    </cfRule>
  </conditionalFormatting>
  <conditionalFormatting sqref="F10:G10 A10:B10">
    <cfRule type="containsBlanks" dxfId="105" priority="230">
      <formula>LEN(TRIM(A10))=0</formula>
    </cfRule>
  </conditionalFormatting>
  <conditionalFormatting sqref="F10:G10">
    <cfRule type="containsBlanks" dxfId="104" priority="181">
      <formula>LEN(TRIM(F10))=0</formula>
    </cfRule>
    <cfRule type="containsBlanks" dxfId="103" priority="227">
      <formula>LEN(TRIM(F10))=0</formula>
    </cfRule>
  </conditionalFormatting>
  <conditionalFormatting sqref="F14:G14">
    <cfRule type="containsBlanks" dxfId="102" priority="174">
      <formula>LEN(TRIM(F14))=0</formula>
    </cfRule>
  </conditionalFormatting>
  <conditionalFormatting sqref="F18:G18 A43:C43 F43:H43 A47:C47 F47:H47">
    <cfRule type="containsBlanks" dxfId="101" priority="308">
      <formula>LEN(TRIM(A18))=0</formula>
    </cfRule>
  </conditionalFormatting>
  <conditionalFormatting sqref="F18:G18 A43:C45 F43:H45 A47:C49 F47:H49 A25:C27 F25:H27 A18:B18">
    <cfRule type="cellIs" dxfId="100" priority="309" operator="lessThan">
      <formula>4</formula>
    </cfRule>
  </conditionalFormatting>
  <conditionalFormatting sqref="F18:G18">
    <cfRule type="containsBlanks" dxfId="99" priority="92">
      <formula>LEN(TRIM(F18))=0</formula>
    </cfRule>
    <cfRule type="containsBlanks" dxfId="98" priority="301">
      <formula>LEN(TRIM(F18))=0</formula>
    </cfRule>
  </conditionalFormatting>
  <conditionalFormatting sqref="F19:G19">
    <cfRule type="cellIs" dxfId="97" priority="39" operator="lessThan">
      <formula>4</formula>
    </cfRule>
    <cfRule type="containsBlanks" dxfId="96" priority="38">
      <formula>LEN(TRIM(F19))=0</formula>
    </cfRule>
  </conditionalFormatting>
  <conditionalFormatting sqref="F11:H12">
    <cfRule type="cellIs" dxfId="95" priority="15" operator="lessThan">
      <formula>4</formula>
    </cfRule>
    <cfRule type="containsBlanks" dxfId="94" priority="14">
      <formula>LEN(TRIM(F11))=0</formula>
    </cfRule>
  </conditionalFormatting>
  <conditionalFormatting sqref="F15:H16">
    <cfRule type="cellIs" dxfId="93" priority="29" operator="lessThan">
      <formula>4</formula>
    </cfRule>
    <cfRule type="containsBlanks" dxfId="92" priority="28">
      <formula>LEN(TRIM(F15))=0</formula>
    </cfRule>
  </conditionalFormatting>
  <conditionalFormatting sqref="F20:H20">
    <cfRule type="containsBlanks" dxfId="91" priority="46">
      <formula>LEN(TRIM(F20))=0</formula>
    </cfRule>
    <cfRule type="cellIs" dxfId="90" priority="47" operator="lessThan">
      <formula>4</formula>
    </cfRule>
  </conditionalFormatting>
  <conditionalFormatting sqref="F25:H25">
    <cfRule type="containsBlanks" dxfId="89" priority="244">
      <formula>LEN(TRIM(F25))=0</formula>
    </cfRule>
  </conditionalFormatting>
  <conditionalFormatting sqref="F29:H29">
    <cfRule type="containsBlanks" dxfId="88" priority="71">
      <formula>LEN(TRIM(F29))=0</formula>
    </cfRule>
  </conditionalFormatting>
  <conditionalFormatting sqref="F33:H33">
    <cfRule type="containsBlanks" dxfId="87" priority="64">
      <formula>LEN(TRIM(F33))=0</formula>
    </cfRule>
  </conditionalFormatting>
  <conditionalFormatting sqref="H10">
    <cfRule type="cellIs" dxfId="86" priority="13" operator="lessThan">
      <formula>4</formula>
    </cfRule>
    <cfRule type="containsBlanks" dxfId="85" priority="12">
      <formula>LEN(TRIM(H10))=0</formula>
    </cfRule>
  </conditionalFormatting>
  <conditionalFormatting sqref="H14">
    <cfRule type="cellIs" dxfId="84" priority="27" operator="lessThan">
      <formula>4</formula>
    </cfRule>
    <cfRule type="containsBlanks" dxfId="83" priority="26">
      <formula>LEN(TRIM(H14))=0</formula>
    </cfRule>
  </conditionalFormatting>
  <conditionalFormatting sqref="H18:H19">
    <cfRule type="cellIs" dxfId="82" priority="43" operator="lessThan">
      <formula>4</formula>
    </cfRule>
    <cfRule type="containsBlanks" dxfId="81" priority="42">
      <formula>LEN(TRIM(H18))=0</formula>
    </cfRule>
  </conditionalFormatting>
  <conditionalFormatting sqref="H25:H26">
    <cfRule type="containsBlanks" dxfId="80" priority="243">
      <formula>LEN(TRIM(H25))=0</formula>
    </cfRule>
  </conditionalFormatting>
  <conditionalFormatting sqref="H29">
    <cfRule type="containsBlanks" dxfId="79" priority="60">
      <formula>LEN(TRIM(H29))=0</formula>
    </cfRule>
  </conditionalFormatting>
  <conditionalFormatting sqref="H29:H30">
    <cfRule type="containsBlanks" dxfId="78" priority="61">
      <formula>LEN(TRIM(H29))=0</formula>
    </cfRule>
  </conditionalFormatting>
  <conditionalFormatting sqref="H33:H34">
    <cfRule type="containsBlanks" dxfId="77" priority="63">
      <formula>LEN(TRIM(H33))=0</formula>
    </cfRule>
  </conditionalFormatting>
  <conditionalFormatting sqref="H3526">
    <cfRule type="cellIs" dxfId="76" priority="311" operator="lessThan">
      <formula>4</formula>
    </cfRule>
  </conditionalFormatting>
  <conditionalFormatting sqref="I22">
    <cfRule type="cellIs" dxfId="75" priority="6" operator="lessThan">
      <formula>4</formula>
    </cfRule>
  </conditionalFormatting>
  <conditionalFormatting sqref="I37">
    <cfRule type="cellIs" dxfId="74" priority="4" operator="lessThan">
      <formula>4</formula>
    </cfRule>
  </conditionalFormatting>
  <conditionalFormatting sqref="J24:K27">
    <cfRule type="expression" dxfId="73" priority="3">
      <formula>$J$24&lt;&gt;""</formula>
    </cfRule>
  </conditionalFormatting>
  <conditionalFormatting sqref="J28:K31">
    <cfRule type="expression" dxfId="72" priority="2">
      <formula>$J$28&lt;&gt;""</formula>
    </cfRule>
  </conditionalFormatting>
  <conditionalFormatting sqref="J32:K35">
    <cfRule type="expression" dxfId="71" priority="1">
      <formula>$J$32&lt;&gt;""</formula>
    </cfRule>
  </conditionalFormatting>
  <dataValidations count="1">
    <dataValidation type="list" allowBlank="1" showErrorMessage="1" errorTitle="ERREUR" error="Valeur des notes uniquement entre 1 et 6 par saut de 0.5." sqref="F43:H45 A18:C20 F18:H20 F25:H27 F14:H16 A10:C12 F47:H49 A25:C27 A47:C49 A43:C45 A14:C16 F29:H31 A29:C31 F10:H12 A33:C35 F33:H35" xr:uid="{8138182A-CF6F-46C2-B3C2-FEBDE01ED0D5}">
      <formula1>$Z$66:$Z$76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E34D-5599-494B-B9C5-C1E68C93A225}">
  <dimension ref="A1:Z59"/>
  <sheetViews>
    <sheetView showGridLines="0" topLeftCell="A3" zoomScaleNormal="100" workbookViewId="0">
      <selection activeCell="D3" sqref="D3"/>
    </sheetView>
  </sheetViews>
  <sheetFormatPr defaultColWidth="11.42578125" defaultRowHeight="14.25"/>
  <cols>
    <col min="1" max="9" width="8.85546875" customWidth="1"/>
    <col min="26" max="26" width="11.5703125" style="17"/>
  </cols>
  <sheetData>
    <row r="1" spans="1:11" ht="4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3" spans="1:11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11" ht="30" customHeight="1">
      <c r="A5" s="23" t="s">
        <v>2</v>
      </c>
      <c r="B5" s="23"/>
      <c r="C5" s="23"/>
      <c r="D5" s="23"/>
      <c r="E5" s="23"/>
      <c r="F5" s="23"/>
      <c r="G5" s="23"/>
      <c r="H5" s="23"/>
      <c r="I5" s="23"/>
    </row>
    <row r="7" spans="1:11">
      <c r="A7" s="27" t="s">
        <v>40</v>
      </c>
      <c r="B7" s="27"/>
      <c r="C7" s="27"/>
      <c r="D7" s="8" t="s">
        <v>4</v>
      </c>
      <c r="E7" s="9"/>
      <c r="F7" s="27" t="s">
        <v>41</v>
      </c>
      <c r="G7" s="27"/>
      <c r="H7" s="27"/>
      <c r="I7" s="8" t="s">
        <v>4</v>
      </c>
    </row>
    <row r="8" spans="1:11">
      <c r="A8" s="19"/>
      <c r="B8" s="19"/>
      <c r="C8" s="19"/>
      <c r="D8" s="8"/>
      <c r="E8" s="9"/>
      <c r="F8" s="19"/>
      <c r="G8" s="19"/>
      <c r="H8" s="19"/>
      <c r="I8" s="8"/>
    </row>
    <row r="9" spans="1:11">
      <c r="A9" s="2" t="s">
        <v>42</v>
      </c>
      <c r="B9" s="2"/>
      <c r="C9" s="2"/>
      <c r="D9" s="2"/>
      <c r="E9" s="2"/>
      <c r="F9" s="2"/>
      <c r="G9" s="2"/>
      <c r="H9" s="2"/>
      <c r="I9" s="2"/>
      <c r="J9" s="22"/>
      <c r="K9" s="22"/>
    </row>
    <row r="10" spans="1:11">
      <c r="A10" s="16"/>
      <c r="B10" s="16"/>
      <c r="C10" s="16"/>
      <c r="D10" s="24" t="s">
        <v>7</v>
      </c>
      <c r="E10" s="3"/>
      <c r="I10" s="24" t="s">
        <v>7</v>
      </c>
      <c r="J10" s="22"/>
      <c r="K10" s="22"/>
    </row>
    <row r="11" spans="1:11">
      <c r="A11" s="13"/>
      <c r="B11" s="13"/>
      <c r="C11" s="13"/>
      <c r="D11" s="24"/>
      <c r="E11" s="3"/>
      <c r="I11" s="24"/>
      <c r="J11" s="22"/>
      <c r="K11" s="22"/>
    </row>
    <row r="12" spans="1:11">
      <c r="A12" s="13"/>
      <c r="B12" s="13"/>
      <c r="C12" s="13"/>
      <c r="D12" s="24"/>
      <c r="E12" s="3"/>
      <c r="I12" s="24"/>
      <c r="J12" s="22"/>
      <c r="K12" s="22"/>
    </row>
    <row r="13" spans="1:11">
      <c r="D13" s="24"/>
      <c r="E13" s="2"/>
      <c r="F13" s="2" t="s">
        <v>43</v>
      </c>
      <c r="I13" s="24"/>
      <c r="J13" s="22"/>
      <c r="K13" s="22"/>
    </row>
    <row r="14" spans="1:11">
      <c r="D14" s="24"/>
      <c r="E14" s="3"/>
      <c r="F14" s="16"/>
      <c r="G14" s="16"/>
      <c r="H14" s="16"/>
      <c r="I14" s="24"/>
      <c r="J14" s="22"/>
      <c r="K14" s="22"/>
    </row>
    <row r="15" spans="1:11">
      <c r="D15" s="24"/>
      <c r="E15" s="3"/>
      <c r="F15" s="13"/>
      <c r="G15" s="13"/>
      <c r="H15" s="13"/>
      <c r="I15" s="24"/>
      <c r="J15" s="22"/>
      <c r="K15" s="22"/>
    </row>
    <row r="16" spans="1:11">
      <c r="D16" s="24"/>
      <c r="E16" s="3"/>
      <c r="F16" s="13"/>
      <c r="G16" s="13"/>
      <c r="H16" s="13"/>
      <c r="I16" s="24"/>
      <c r="J16" s="22"/>
      <c r="K16" s="22"/>
    </row>
    <row r="17" spans="1:26" ht="14.65" thickBot="1"/>
    <row r="18" spans="1:26" ht="14.65" thickBot="1">
      <c r="A18" s="2" t="s">
        <v>44</v>
      </c>
      <c r="D18" s="6" t="str">
        <f>IF(ISERROR(AVERAGE(DCOABCS5)),"",MROUND(AVERAGE(DCOABCS5),0.5))</f>
        <v/>
      </c>
      <c r="F18" s="2" t="s">
        <v>45</v>
      </c>
      <c r="I18" s="6" t="str">
        <f>IF(ISERROR(AVERAGE(DCOABCS6)),"",MROUND(AVERAGE(DCOABCS6),0.5))</f>
        <v/>
      </c>
    </row>
    <row r="20" spans="1:26">
      <c r="A20" s="2" t="s">
        <v>46</v>
      </c>
      <c r="D20" s="2"/>
      <c r="E20" s="2"/>
      <c r="F20" s="2" t="s">
        <v>46</v>
      </c>
      <c r="I20" s="2"/>
    </row>
    <row r="21" spans="1:26">
      <c r="A21" s="16"/>
      <c r="B21" s="16"/>
      <c r="C21" s="16"/>
      <c r="D21" s="24" t="s">
        <v>47</v>
      </c>
      <c r="E21" s="3"/>
      <c r="F21" s="16"/>
      <c r="G21" s="16"/>
      <c r="H21" s="16"/>
      <c r="I21" s="24" t="s">
        <v>47</v>
      </c>
    </row>
    <row r="22" spans="1:26">
      <c r="A22" s="13"/>
      <c r="B22" s="13"/>
      <c r="C22" s="13"/>
      <c r="D22" s="24"/>
      <c r="E22" s="3"/>
      <c r="F22" s="13"/>
      <c r="G22" s="13"/>
      <c r="H22" s="13"/>
      <c r="I22" s="24"/>
    </row>
    <row r="23" spans="1:26" ht="15" customHeight="1">
      <c r="A23" s="13"/>
      <c r="B23" s="13"/>
      <c r="C23" s="13"/>
      <c r="D23" s="24"/>
      <c r="E23" s="3"/>
      <c r="F23" s="13"/>
      <c r="G23" s="13"/>
      <c r="H23" s="13"/>
      <c r="I23" s="24"/>
      <c r="Z23" s="18"/>
    </row>
    <row r="24" spans="1:26">
      <c r="A24" s="2" t="s">
        <v>48</v>
      </c>
      <c r="D24" s="24"/>
      <c r="E24" s="2"/>
      <c r="F24" s="2" t="s">
        <v>48</v>
      </c>
      <c r="I24" s="24"/>
    </row>
    <row r="25" spans="1:26">
      <c r="A25" s="16"/>
      <c r="B25" s="16"/>
      <c r="C25" s="13"/>
      <c r="D25" s="24"/>
      <c r="E25" s="3"/>
      <c r="F25" s="16"/>
      <c r="G25" s="16"/>
      <c r="H25" s="13"/>
      <c r="I25" s="24"/>
    </row>
    <row r="26" spans="1:26">
      <c r="A26" s="13"/>
      <c r="B26" s="13"/>
      <c r="C26" s="13"/>
      <c r="D26" s="24"/>
      <c r="E26" s="3"/>
      <c r="F26" s="13"/>
      <c r="G26" s="13"/>
      <c r="H26" s="13"/>
      <c r="I26" s="24"/>
    </row>
    <row r="27" spans="1:26">
      <c r="A27" s="13"/>
      <c r="B27" s="13"/>
      <c r="C27" s="13"/>
      <c r="D27" s="24"/>
      <c r="E27" s="3"/>
      <c r="F27" s="13"/>
      <c r="G27" s="13"/>
      <c r="H27" s="13"/>
      <c r="I27" s="24"/>
    </row>
    <row r="28" spans="1:26" ht="14.65" thickBot="1"/>
    <row r="29" spans="1:26" ht="14.65" thickBot="1">
      <c r="A29" s="2" t="s">
        <v>49</v>
      </c>
      <c r="D29" s="6" t="str">
        <f>IF(ISERROR(AVERAGE(DCOEFS5)),"",MROUND(AVERAGE(DCOEFS5),0.5))</f>
        <v/>
      </c>
      <c r="F29" s="2" t="s">
        <v>50</v>
      </c>
      <c r="I29" s="6" t="str">
        <f>IF(ISERROR(AVERAGE(DCOEFS6)),"",MROUND(AVERAGE(DCOEFS6),0.5))</f>
        <v/>
      </c>
    </row>
    <row r="30" spans="1:26" ht="14.65" thickBot="1"/>
    <row r="31" spans="1:26" ht="15" thickTop="1" thickBot="1">
      <c r="A31" s="2" t="s">
        <v>51</v>
      </c>
      <c r="B31" s="2"/>
      <c r="C31" s="2"/>
      <c r="D31" s="7" t="str">
        <f>IF(ISERROR(AVERAGE(DCOABCS5MOY,DCOEFS5MOY)),"",MROUND(AVERAGE(DCOABCS5MOY,DCOEFS5MOY),0.5))</f>
        <v/>
      </c>
      <c r="E31" s="2"/>
      <c r="F31" s="2" t="s">
        <v>51</v>
      </c>
      <c r="G31" s="2"/>
      <c r="H31" s="2"/>
      <c r="I31" s="7" t="str">
        <f>IF(ISERROR(AVERAGE(DCOABCS6MOY,DCOEFS6MOY)),"",MROUND(AVERAGE(DCOABCS6MOY,DCOEFS6MOY),0.5))</f>
        <v/>
      </c>
    </row>
    <row r="32" spans="1:26" ht="14.65" thickTop="1"/>
    <row r="33" spans="1:26" s="1" customFormat="1" ht="30" customHeight="1">
      <c r="A33" s="23" t="s">
        <v>20</v>
      </c>
      <c r="B33" s="23"/>
      <c r="C33" s="23"/>
      <c r="D33" s="23"/>
      <c r="E33" s="23"/>
      <c r="F33" s="23"/>
      <c r="G33" s="23"/>
      <c r="H33" s="23"/>
      <c r="I33" s="23"/>
      <c r="Z33" s="17"/>
    </row>
    <row r="34" spans="1:26">
      <c r="A34" s="2" t="s">
        <v>21</v>
      </c>
      <c r="B34" s="2"/>
      <c r="C34" s="2"/>
      <c r="D34" s="2"/>
      <c r="E34" s="2"/>
      <c r="F34" s="2" t="s">
        <v>21</v>
      </c>
      <c r="G34" s="2"/>
      <c r="H34" s="2"/>
      <c r="I34" s="2"/>
    </row>
    <row r="35" spans="1:26">
      <c r="A35" s="16"/>
      <c r="B35" s="16"/>
      <c r="C35" s="16"/>
      <c r="D35" s="3"/>
      <c r="E35" s="3"/>
      <c r="F35" s="16"/>
      <c r="G35" s="16"/>
      <c r="H35" s="16"/>
      <c r="I35" s="3"/>
    </row>
    <row r="36" spans="1:26" ht="14.65" thickBot="1">
      <c r="A36" s="13"/>
      <c r="B36" s="13"/>
      <c r="C36" s="13"/>
      <c r="D36" s="3"/>
      <c r="E36" s="3"/>
      <c r="F36" s="13"/>
      <c r="G36" s="13"/>
      <c r="H36" s="13"/>
      <c r="I36" s="3"/>
    </row>
    <row r="37" spans="1:26" ht="14.65" thickBot="1">
      <c r="A37" s="13"/>
      <c r="B37" s="13"/>
      <c r="C37" s="13"/>
      <c r="D37" s="6" t="str">
        <f>IF(ISERROR(AVERAGE(ECGLCS5)),"",MROUND(AVERAGE(ECGLCS5),0.5))</f>
        <v/>
      </c>
      <c r="E37" s="3"/>
      <c r="F37" s="13"/>
      <c r="G37" s="13"/>
      <c r="H37" s="13"/>
      <c r="I37" s="6" t="str">
        <f>IF(ISERROR(AVERAGE(ECGLCS6)),"",MROUND(AVERAGE(ECGLCS6),0.5))</f>
        <v/>
      </c>
    </row>
    <row r="38" spans="1:26">
      <c r="A38" s="2" t="s">
        <v>22</v>
      </c>
      <c r="B38" s="2"/>
      <c r="C38" s="2"/>
      <c r="D38" s="2"/>
      <c r="E38" s="2"/>
      <c r="F38" s="2" t="s">
        <v>22</v>
      </c>
      <c r="G38" s="2"/>
      <c r="H38" s="2"/>
      <c r="I38" s="2"/>
    </row>
    <row r="39" spans="1:26">
      <c r="A39" s="16"/>
      <c r="B39" s="16"/>
      <c r="C39" s="16"/>
      <c r="D39" s="3"/>
      <c r="E39" s="3"/>
      <c r="F39" s="16"/>
      <c r="G39" s="16"/>
      <c r="H39" s="16"/>
      <c r="I39" s="3"/>
    </row>
    <row r="40" spans="1:26" ht="14.65" thickBot="1">
      <c r="A40" s="13"/>
      <c r="B40" s="13"/>
      <c r="C40" s="13"/>
      <c r="D40" s="3"/>
      <c r="E40" s="3"/>
      <c r="F40" s="13"/>
      <c r="G40" s="13"/>
      <c r="H40" s="13"/>
      <c r="I40" s="3"/>
    </row>
    <row r="41" spans="1:26" ht="14.65" thickBot="1">
      <c r="A41" s="13"/>
      <c r="B41" s="13"/>
      <c r="C41" s="13"/>
      <c r="D41" s="6" t="str">
        <f>IF(ISERROR(AVERAGE(ECGSOS5)),"",MROUND(AVERAGE(ECGSOS5),0.5))</f>
        <v/>
      </c>
      <c r="E41" s="3"/>
      <c r="F41" s="13"/>
      <c r="G41" s="13"/>
      <c r="H41" s="13"/>
      <c r="I41" s="6" t="str">
        <f>IF(ISERROR(AVERAGE(ECGSOS6)),"",MROUND(AVERAGE(ECGSOS6),0.5))</f>
        <v/>
      </c>
    </row>
    <row r="42" spans="1:26" ht="14.65" thickBot="1">
      <c r="A42" s="2"/>
      <c r="B42" s="2"/>
      <c r="C42" s="2"/>
      <c r="D42" s="2"/>
      <c r="E42" s="2"/>
      <c r="F42" s="2"/>
      <c r="G42" s="2"/>
      <c r="H42" s="2"/>
      <c r="I42" s="2"/>
    </row>
    <row r="43" spans="1:26" ht="15" thickTop="1" thickBot="1">
      <c r="A43" s="2" t="s">
        <v>23</v>
      </c>
      <c r="B43" s="2"/>
      <c r="C43" s="2"/>
      <c r="D43" s="7" t="str">
        <f>IF(ISERROR(AVERAGE(ECGLCS5MOY,ECGSOS5MOY)),"",MROUND(AVERAGE(ECGLCS5MOY,ECGSOS5MOY),0.5))</f>
        <v/>
      </c>
      <c r="E43" s="2"/>
      <c r="F43" s="2" t="s">
        <v>23</v>
      </c>
      <c r="G43" s="2"/>
      <c r="H43" s="2"/>
      <c r="I43" s="7" t="str">
        <f>IF(ISERROR(AVERAGE(ECGLCS6MOY,ECGSOS6MOY)),"",MROUND(AVERAGE(ECGLCS6MOY,ECGSOS6MOY),0.5))</f>
        <v/>
      </c>
    </row>
    <row r="44" spans="1:26" ht="14.65" thickTop="1"/>
    <row r="46" spans="1:26">
      <c r="A46" s="2" t="s">
        <v>24</v>
      </c>
    </row>
    <row r="47" spans="1:26">
      <c r="A47" s="2" t="s">
        <v>25</v>
      </c>
    </row>
    <row r="49" spans="26:26">
      <c r="Z49" s="17">
        <v>6</v>
      </c>
    </row>
    <row r="50" spans="26:26">
      <c r="Z50" s="17">
        <v>5.5</v>
      </c>
    </row>
    <row r="51" spans="26:26">
      <c r="Z51" s="17">
        <v>5</v>
      </c>
    </row>
    <row r="52" spans="26:26">
      <c r="Z52" s="17">
        <v>4.5</v>
      </c>
    </row>
    <row r="53" spans="26:26">
      <c r="Z53" s="17">
        <v>4</v>
      </c>
    </row>
    <row r="54" spans="26:26">
      <c r="Z54" s="17">
        <v>3.5</v>
      </c>
    </row>
    <row r="55" spans="26:26">
      <c r="Z55" s="17">
        <v>3</v>
      </c>
    </row>
    <row r="56" spans="26:26">
      <c r="Z56" s="17">
        <v>2.5</v>
      </c>
    </row>
    <row r="57" spans="26:26">
      <c r="Z57" s="17">
        <v>2</v>
      </c>
    </row>
    <row r="58" spans="26:26">
      <c r="Z58" s="17">
        <v>1.5</v>
      </c>
    </row>
    <row r="59" spans="26:26">
      <c r="Z59" s="17">
        <v>1</v>
      </c>
    </row>
  </sheetData>
  <sheetProtection sheet="1" selectLockedCells="1"/>
  <mergeCells count="9">
    <mergeCell ref="A33:I33"/>
    <mergeCell ref="A7:C7"/>
    <mergeCell ref="F7:H7"/>
    <mergeCell ref="A5:I5"/>
    <mergeCell ref="A1:I1"/>
    <mergeCell ref="D10:D16"/>
    <mergeCell ref="I10:I16"/>
    <mergeCell ref="D21:D27"/>
    <mergeCell ref="I21:I27"/>
  </mergeCells>
  <conditionalFormatting sqref="A11:B11">
    <cfRule type="containsBlanks" dxfId="70" priority="42">
      <formula>LEN(TRIM(A11))=0</formula>
    </cfRule>
    <cfRule type="cellIs" dxfId="69" priority="43" operator="lessThan">
      <formula>4</formula>
    </cfRule>
  </conditionalFormatting>
  <conditionalFormatting sqref="A25:B25 F25:G25">
    <cfRule type="containsBlanks" dxfId="68" priority="48">
      <formula>LEN(TRIM(A25))=0</formula>
    </cfRule>
  </conditionalFormatting>
  <conditionalFormatting sqref="A10:C10">
    <cfRule type="containsBlanks" dxfId="67" priority="46">
      <formula>LEN(TRIM(A10))=0</formula>
    </cfRule>
  </conditionalFormatting>
  <conditionalFormatting sqref="A12:C12 D31 I31 D37 I37 D41 I41 D43 I43">
    <cfRule type="cellIs" dxfId="66" priority="55" operator="lessThan">
      <formula>4</formula>
    </cfRule>
  </conditionalFormatting>
  <conditionalFormatting sqref="A25:C27 F25:H27">
    <cfRule type="cellIs" dxfId="65" priority="49" operator="lessThan">
      <formula>4</formula>
    </cfRule>
  </conditionalFormatting>
  <conditionalFormatting sqref="A26:C27 F26:H27">
    <cfRule type="containsBlanks" dxfId="64" priority="47">
      <formula>LEN(TRIM(A26))=0</formula>
    </cfRule>
  </conditionalFormatting>
  <conditionalFormatting sqref="A35:C35">
    <cfRule type="containsBlanks" dxfId="63" priority="27">
      <formula>LEN(TRIM(A35))=0</formula>
    </cfRule>
  </conditionalFormatting>
  <conditionalFormatting sqref="A35:C37">
    <cfRule type="containsBlanks" dxfId="62" priority="28">
      <formula>LEN(TRIM(A35))=0</formula>
    </cfRule>
    <cfRule type="cellIs" dxfId="61" priority="29" operator="lessThan">
      <formula>4</formula>
    </cfRule>
  </conditionalFormatting>
  <conditionalFormatting sqref="A39:C39">
    <cfRule type="containsBlanks" dxfId="60" priority="18">
      <formula>LEN(TRIM(A39))=0</formula>
    </cfRule>
  </conditionalFormatting>
  <conditionalFormatting sqref="A39:C41">
    <cfRule type="containsBlanks" dxfId="59" priority="19">
      <formula>LEN(TRIM(A39))=0</formula>
    </cfRule>
    <cfRule type="cellIs" dxfId="58" priority="20" operator="lessThan">
      <formula>4</formula>
    </cfRule>
  </conditionalFormatting>
  <conditionalFormatting sqref="C10:C11 A12:C12 F13 F15:H16 A22:C23 F22:H23 F36:H37 F40:H41">
    <cfRule type="containsBlanks" dxfId="57" priority="51">
      <formula>LEN(TRIM(A10))=0</formula>
    </cfRule>
  </conditionalFormatting>
  <conditionalFormatting sqref="C25">
    <cfRule type="containsBlanks" dxfId="56" priority="35">
      <formula>LEN(TRIM(C25))=0</formula>
    </cfRule>
  </conditionalFormatting>
  <conditionalFormatting sqref="D18">
    <cfRule type="cellIs" dxfId="55" priority="4" operator="lessThan">
      <formula>4</formula>
    </cfRule>
  </conditionalFormatting>
  <conditionalFormatting sqref="D29">
    <cfRule type="cellIs" dxfId="54" priority="2" operator="lessThan">
      <formula>4</formula>
    </cfRule>
  </conditionalFormatting>
  <conditionalFormatting sqref="F14:H14 A21:C21 F21:H21 F35:H35 F39:H39">
    <cfRule type="containsBlanks" dxfId="53" priority="52">
      <formula>LEN(TRIM(A14))=0</formula>
    </cfRule>
  </conditionalFormatting>
  <conditionalFormatting sqref="F14:H16 A21:C23 F21:H23 F35:H37 F39:H41 A10:C10 C11">
    <cfRule type="cellIs" dxfId="52" priority="53" operator="lessThan">
      <formula>4</formula>
    </cfRule>
  </conditionalFormatting>
  <conditionalFormatting sqref="H25">
    <cfRule type="containsBlanks" dxfId="51" priority="34">
      <formula>LEN(TRIM(H25))=0</formula>
    </cfRule>
  </conditionalFormatting>
  <conditionalFormatting sqref="H3518">
    <cfRule type="cellIs" dxfId="50" priority="65" operator="lessThan">
      <formula>4</formula>
    </cfRule>
  </conditionalFormatting>
  <conditionalFormatting sqref="I18">
    <cfRule type="cellIs" dxfId="49" priority="3" operator="lessThan">
      <formula>4</formula>
    </cfRule>
  </conditionalFormatting>
  <conditionalFormatting sqref="I29">
    <cfRule type="cellIs" dxfId="48" priority="1" operator="lessThan">
      <formula>4</formula>
    </cfRule>
  </conditionalFormatting>
  <conditionalFormatting sqref="J9:K12">
    <cfRule type="expression" dxfId="47" priority="309">
      <formula>#REF!&lt;&gt;""</formula>
    </cfRule>
  </conditionalFormatting>
  <dataValidations count="1">
    <dataValidation type="list" allowBlank="1" showErrorMessage="1" errorTitle="ERREUR" error="Valeur des notes uniquement entre 1 et 6 par saut de 0.5." sqref="F25:H27 A25:C27 A10:C12 A21:C23 F21:H23 F14:H16 F35:H37 A35:C37 A39:C41 F39:H41" xr:uid="{7473B169-7471-4094-ABCF-022BF41344D5}">
      <formula1>$Z$49:$Z$59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6753-DBC6-4D2E-892F-808D8AC5D537}">
  <dimension ref="A1:Z63"/>
  <sheetViews>
    <sheetView showGridLines="0" zoomScaleNormal="100" workbookViewId="0">
      <selection activeCell="D3" sqref="D3"/>
    </sheetView>
  </sheetViews>
  <sheetFormatPr defaultColWidth="11.42578125" defaultRowHeight="14.25"/>
  <cols>
    <col min="1" max="9" width="8.85546875" customWidth="1"/>
    <col min="26" max="26" width="11.5703125" style="14"/>
  </cols>
  <sheetData>
    <row r="1" spans="1:26" ht="4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26" ht="30" customHeight="1">
      <c r="A5" s="23" t="s">
        <v>2</v>
      </c>
      <c r="B5" s="23"/>
      <c r="C5" s="23"/>
      <c r="D5" s="23"/>
      <c r="E5" s="23"/>
      <c r="F5" s="23"/>
      <c r="G5" s="23"/>
      <c r="H5" s="23"/>
      <c r="I5" s="23"/>
    </row>
    <row r="7" spans="1:26">
      <c r="A7" s="27" t="s">
        <v>52</v>
      </c>
      <c r="B7" s="27"/>
      <c r="C7" s="27"/>
      <c r="D7" s="8" t="s">
        <v>4</v>
      </c>
      <c r="E7" s="9"/>
      <c r="F7" s="27" t="s">
        <v>53</v>
      </c>
      <c r="G7" s="27"/>
      <c r="H7" s="27"/>
      <c r="I7" s="8" t="s">
        <v>4</v>
      </c>
    </row>
    <row r="8" spans="1:26">
      <c r="A8" s="19"/>
      <c r="B8" s="19"/>
      <c r="C8" s="19"/>
      <c r="D8" s="8"/>
      <c r="E8" s="9"/>
      <c r="F8" s="19"/>
      <c r="G8" s="19"/>
      <c r="H8" s="19"/>
      <c r="I8" s="8"/>
      <c r="Z8"/>
    </row>
    <row r="9" spans="1:26">
      <c r="A9" s="2" t="s">
        <v>54</v>
      </c>
      <c r="B9" s="2"/>
      <c r="C9" s="2"/>
      <c r="D9" s="2"/>
      <c r="E9" s="2"/>
      <c r="I9" s="2"/>
      <c r="J9" s="28"/>
      <c r="K9" s="28"/>
    </row>
    <row r="10" spans="1:26">
      <c r="A10" s="16"/>
      <c r="B10" s="16"/>
      <c r="C10" s="16"/>
      <c r="D10" s="24" t="s">
        <v>7</v>
      </c>
      <c r="E10" s="3"/>
      <c r="I10" s="24" t="s">
        <v>7</v>
      </c>
      <c r="J10" s="28"/>
      <c r="K10" s="28"/>
    </row>
    <row r="11" spans="1:26">
      <c r="A11" s="13"/>
      <c r="B11" s="13"/>
      <c r="C11" s="13"/>
      <c r="D11" s="24"/>
      <c r="E11" s="3"/>
      <c r="I11" s="24"/>
      <c r="J11" s="28"/>
      <c r="K11" s="28"/>
    </row>
    <row r="12" spans="1:26">
      <c r="A12" s="13"/>
      <c r="B12" s="13"/>
      <c r="C12" s="13"/>
      <c r="D12" s="24"/>
      <c r="E12" s="3"/>
      <c r="I12" s="24"/>
      <c r="J12" s="28"/>
      <c r="K12" s="28"/>
    </row>
    <row r="13" spans="1:26">
      <c r="D13" s="24"/>
      <c r="F13" s="2" t="s">
        <v>55</v>
      </c>
      <c r="I13" s="24"/>
      <c r="J13" s="28"/>
      <c r="K13" s="28"/>
    </row>
    <row r="14" spans="1:26">
      <c r="D14" s="24"/>
      <c r="E14" s="3"/>
      <c r="F14" s="16"/>
      <c r="G14" s="16"/>
      <c r="H14" s="16"/>
      <c r="I14" s="24"/>
      <c r="J14" s="28"/>
      <c r="K14" s="28"/>
    </row>
    <row r="15" spans="1:26">
      <c r="D15" s="24"/>
      <c r="E15" s="3"/>
      <c r="F15" s="13"/>
      <c r="G15" s="13"/>
      <c r="H15" s="13"/>
      <c r="I15" s="24"/>
      <c r="J15" s="28"/>
      <c r="K15" s="28"/>
    </row>
    <row r="16" spans="1:26">
      <c r="D16" s="24"/>
      <c r="E16" s="3"/>
      <c r="F16" s="13"/>
      <c r="G16" s="13"/>
      <c r="H16" s="13"/>
      <c r="I16" s="24"/>
      <c r="J16" s="28"/>
      <c r="K16" s="28"/>
    </row>
    <row r="17" spans="1:26" ht="14.65" thickBot="1">
      <c r="Z17" s="17"/>
    </row>
    <row r="18" spans="1:26" ht="14.65" thickBot="1">
      <c r="A18" s="2" t="s">
        <v>56</v>
      </c>
      <c r="D18" s="6" t="str">
        <f>IF(ISERROR(AVERAGE(DCOABCS7)),"",MROUND(AVERAGE(DCOABCS7),0.5))</f>
        <v/>
      </c>
      <c r="F18" s="2" t="s">
        <v>57</v>
      </c>
      <c r="I18" s="6" t="str">
        <f>IF(ISERROR(AVERAGE(DCOABCS8)),"",MROUND(AVERAGE(DCOABCS8),0.5))</f>
        <v/>
      </c>
      <c r="Z18" s="17"/>
    </row>
    <row r="19" spans="1:26">
      <c r="Z19" s="17"/>
    </row>
    <row r="20" spans="1:26">
      <c r="A20" s="2" t="s">
        <v>58</v>
      </c>
      <c r="F20" s="2" t="s">
        <v>58</v>
      </c>
    </row>
    <row r="21" spans="1:26">
      <c r="A21" s="16"/>
      <c r="B21" s="16"/>
      <c r="C21" s="16"/>
      <c r="D21" s="24" t="s">
        <v>47</v>
      </c>
      <c r="E21" s="3"/>
      <c r="F21" s="16"/>
      <c r="G21" s="16"/>
      <c r="H21" s="16"/>
      <c r="I21" s="24" t="s">
        <v>47</v>
      </c>
    </row>
    <row r="22" spans="1:26">
      <c r="A22" s="13"/>
      <c r="B22" s="13"/>
      <c r="C22" s="13"/>
      <c r="D22" s="24"/>
      <c r="E22" s="3"/>
      <c r="F22" s="13"/>
      <c r="G22" s="13"/>
      <c r="H22" s="13"/>
      <c r="I22" s="24"/>
    </row>
    <row r="23" spans="1:26" ht="15" customHeight="1">
      <c r="A23" s="13"/>
      <c r="B23" s="13"/>
      <c r="C23" s="13"/>
      <c r="D23" s="24"/>
      <c r="E23" s="3"/>
      <c r="F23" s="13"/>
      <c r="G23" s="13"/>
      <c r="H23" s="13"/>
      <c r="I23" s="24"/>
      <c r="Z23" s="15"/>
    </row>
    <row r="24" spans="1:26" ht="15" customHeight="1">
      <c r="A24" s="2" t="s">
        <v>59</v>
      </c>
      <c r="D24" s="24"/>
      <c r="F24" s="2" t="s">
        <v>59</v>
      </c>
      <c r="I24" s="24"/>
      <c r="Z24" s="15"/>
    </row>
    <row r="25" spans="1:26" ht="15" customHeight="1">
      <c r="A25" s="16"/>
      <c r="B25" s="16"/>
      <c r="C25" s="13"/>
      <c r="D25" s="24"/>
      <c r="E25" s="3"/>
      <c r="F25" s="16"/>
      <c r="G25" s="16"/>
      <c r="H25" s="13"/>
      <c r="I25" s="24"/>
      <c r="Z25" s="15"/>
    </row>
    <row r="26" spans="1:26" ht="15" customHeight="1">
      <c r="A26" s="13"/>
      <c r="B26" s="13"/>
      <c r="C26" s="13"/>
      <c r="D26" s="24"/>
      <c r="E26" s="3"/>
      <c r="F26" s="13"/>
      <c r="G26" s="13"/>
      <c r="H26" s="13"/>
      <c r="I26" s="24"/>
      <c r="Z26" s="15"/>
    </row>
    <row r="27" spans="1:26" ht="15" customHeight="1">
      <c r="A27" s="13"/>
      <c r="B27" s="13"/>
      <c r="C27" s="13"/>
      <c r="D27" s="24"/>
      <c r="E27" s="3"/>
      <c r="F27" s="13"/>
      <c r="G27" s="13"/>
      <c r="H27" s="13"/>
      <c r="I27" s="24"/>
      <c r="Z27" s="15"/>
    </row>
    <row r="28" spans="1:26" ht="14.65" thickBot="1">
      <c r="Z28" s="17"/>
    </row>
    <row r="29" spans="1:26" ht="14.65" thickBot="1">
      <c r="A29" s="2" t="s">
        <v>60</v>
      </c>
      <c r="D29" s="6" t="str">
        <f>IF(ISERROR(AVERAGE(DCOEFS7)),"",MROUND(AVERAGE(DCOEFS7),0.5))</f>
        <v/>
      </c>
      <c r="F29" s="2" t="s">
        <v>61</v>
      </c>
      <c r="I29" s="6" t="str">
        <f>IF(ISERROR(AVERAGE(DCOEFS8)),"",MROUND(AVERAGE(DCOEFS8),0.5))</f>
        <v/>
      </c>
      <c r="Z29" s="17"/>
    </row>
    <row r="30" spans="1:26">
      <c r="Z30" s="17"/>
    </row>
    <row r="31" spans="1:26" ht="14.65" thickBot="1"/>
    <row r="32" spans="1:26" ht="15" thickTop="1" thickBot="1">
      <c r="A32" s="2" t="s">
        <v>51</v>
      </c>
      <c r="B32" s="2"/>
      <c r="C32" s="2"/>
      <c r="D32" s="7" t="str">
        <f>IF(ISERROR(AVERAGE(DCOABCS7MOY,DCOEFS7MOY)),"",MROUND(AVERAGE(DCOABCS7MOY,DCOEFS7MOY),0.5))</f>
        <v/>
      </c>
      <c r="E32" s="2"/>
      <c r="F32" s="2" t="s">
        <v>51</v>
      </c>
      <c r="G32" s="2"/>
      <c r="H32" s="2"/>
      <c r="I32" s="7" t="str">
        <f>IF(ISERROR(AVERAGE(DCOABCS8MOY,DCOEFS8MOY)),"",MROUND(AVERAGE(DCOABCS8MOY,DCOEFS8MOY),0.5))</f>
        <v/>
      </c>
    </row>
    <row r="33" spans="1:26" ht="14.65" thickTop="1"/>
    <row r="34" spans="1:26" s="1" customFormat="1" ht="30" customHeight="1">
      <c r="A34" s="23" t="s">
        <v>20</v>
      </c>
      <c r="B34" s="23"/>
      <c r="C34" s="23"/>
      <c r="D34" s="23"/>
      <c r="E34" s="23"/>
      <c r="F34" s="23"/>
      <c r="G34" s="23"/>
      <c r="H34" s="23"/>
      <c r="I34" s="23"/>
      <c r="Z34" s="14"/>
    </row>
    <row r="35" spans="1:26">
      <c r="A35" s="2" t="s">
        <v>21</v>
      </c>
      <c r="B35" s="2"/>
      <c r="C35" s="2"/>
      <c r="D35" s="2"/>
      <c r="E35" s="2"/>
      <c r="F35" s="2" t="s">
        <v>21</v>
      </c>
      <c r="G35" s="2"/>
      <c r="H35" s="2"/>
      <c r="I35" s="2"/>
    </row>
    <row r="36" spans="1:26">
      <c r="A36" s="16"/>
      <c r="B36" s="16"/>
      <c r="C36" s="16"/>
      <c r="D36" s="3"/>
      <c r="E36" s="3"/>
      <c r="F36" s="16"/>
      <c r="G36" s="16"/>
      <c r="H36" s="16"/>
      <c r="I36" s="3"/>
    </row>
    <row r="37" spans="1:26" ht="14.65" thickBot="1">
      <c r="A37" s="13"/>
      <c r="B37" s="13"/>
      <c r="C37" s="13"/>
      <c r="D37" s="3"/>
      <c r="E37" s="3"/>
      <c r="F37" s="13"/>
      <c r="G37" s="13"/>
      <c r="H37" s="13"/>
      <c r="I37" s="3"/>
    </row>
    <row r="38" spans="1:26" ht="14.65" thickBot="1">
      <c r="A38" s="13"/>
      <c r="B38" s="13"/>
      <c r="C38" s="13"/>
      <c r="D38" s="6" t="str">
        <f>IF(ISERROR(AVERAGE(ECGLCS7)),"",MROUND(AVERAGE(ECGLCS7),0.5))</f>
        <v/>
      </c>
      <c r="E38" s="3"/>
      <c r="F38" s="13"/>
      <c r="G38" s="13"/>
      <c r="H38" s="13"/>
      <c r="I38" s="6" t="str">
        <f>IF(ISERROR(AVERAGE(ECGLCS8)),"",MROUND(AVERAGE(ECGLCS8),0.5))</f>
        <v/>
      </c>
    </row>
    <row r="39" spans="1:26">
      <c r="A39" s="2" t="s">
        <v>22</v>
      </c>
      <c r="B39" s="2"/>
      <c r="C39" s="2"/>
      <c r="D39" s="2"/>
      <c r="E39" s="2"/>
      <c r="F39" s="2" t="s">
        <v>22</v>
      </c>
      <c r="G39" s="2"/>
      <c r="H39" s="2"/>
      <c r="I39" s="2"/>
    </row>
    <row r="40" spans="1:26">
      <c r="A40" s="16"/>
      <c r="B40" s="16"/>
      <c r="C40" s="16"/>
      <c r="D40" s="3"/>
      <c r="E40" s="3"/>
      <c r="F40" s="16"/>
      <c r="G40" s="16"/>
      <c r="H40" s="16"/>
      <c r="I40" s="3"/>
    </row>
    <row r="41" spans="1:26" ht="14.65" thickBot="1">
      <c r="A41" s="13"/>
      <c r="B41" s="13"/>
      <c r="C41" s="13"/>
      <c r="D41" s="3"/>
      <c r="E41" s="3"/>
      <c r="F41" s="13"/>
      <c r="G41" s="13"/>
      <c r="H41" s="13"/>
      <c r="I41" s="3"/>
    </row>
    <row r="42" spans="1:26" ht="14.65" thickBot="1">
      <c r="A42" s="13"/>
      <c r="B42" s="13"/>
      <c r="C42" s="13"/>
      <c r="D42" s="6" t="str">
        <f>IF(ISERROR(AVERAGE(ECGSOS7)),"",MROUND(AVERAGE(ECGSOS7),0.5))</f>
        <v/>
      </c>
      <c r="E42" s="3"/>
      <c r="F42" s="13"/>
      <c r="G42" s="13"/>
      <c r="H42" s="13"/>
      <c r="I42" s="6" t="str">
        <f>IF(ISERROR(AVERAGE(ECGSOS8)),"",MROUND(AVERAGE(ECGSOS8),0.5))</f>
        <v/>
      </c>
    </row>
    <row r="43" spans="1:26" ht="14.65" thickBot="1">
      <c r="A43" s="2"/>
      <c r="B43" s="2"/>
      <c r="C43" s="2"/>
      <c r="D43" s="2"/>
      <c r="E43" s="2"/>
      <c r="F43" s="2"/>
      <c r="G43" s="2"/>
      <c r="H43" s="2"/>
      <c r="I43" s="2"/>
    </row>
    <row r="44" spans="1:26" ht="15" thickTop="1" thickBot="1">
      <c r="A44" s="2" t="s">
        <v>23</v>
      </c>
      <c r="B44" s="2"/>
      <c r="C44" s="2"/>
      <c r="D44" s="7" t="str">
        <f>IF(ISERROR(AVERAGE(ECGLCS7MOY,ECGSOS7MOY)),"",MROUND(AVERAGE(ECGLCS7MOY,ECGSOS7MOY),0.5))</f>
        <v/>
      </c>
      <c r="E44" s="2"/>
      <c r="F44" s="2" t="s">
        <v>23</v>
      </c>
      <c r="G44" s="2"/>
      <c r="H44" s="2"/>
      <c r="I44" s="7" t="str">
        <f>IF(ISERROR(AVERAGE(ECGLCS8MOY,ECGSOS8MOY)),"",MROUND(AVERAGE(ECGLCS8MOY,ECGSOS8MOY),0.5))</f>
        <v/>
      </c>
    </row>
    <row r="45" spans="1:26" ht="14.65" thickTop="1"/>
    <row r="47" spans="1:26">
      <c r="A47" s="2" t="s">
        <v>24</v>
      </c>
    </row>
    <row r="48" spans="1:26">
      <c r="A48" s="2" t="s">
        <v>25</v>
      </c>
    </row>
    <row r="50" spans="26:26">
      <c r="Z50" s="17">
        <v>6</v>
      </c>
    </row>
    <row r="51" spans="26:26">
      <c r="Z51" s="17">
        <v>5.5</v>
      </c>
    </row>
    <row r="52" spans="26:26">
      <c r="Z52" s="17">
        <v>5</v>
      </c>
    </row>
    <row r="53" spans="26:26">
      <c r="Z53" s="17">
        <v>4.5</v>
      </c>
    </row>
    <row r="54" spans="26:26">
      <c r="Z54" s="17">
        <v>4</v>
      </c>
    </row>
    <row r="55" spans="26:26">
      <c r="Z55" s="17">
        <v>3.5</v>
      </c>
    </row>
    <row r="56" spans="26:26">
      <c r="Z56" s="17">
        <v>3</v>
      </c>
    </row>
    <row r="57" spans="26:26">
      <c r="Z57" s="17">
        <v>2.5</v>
      </c>
    </row>
    <row r="58" spans="26:26">
      <c r="Z58" s="17">
        <v>2</v>
      </c>
    </row>
    <row r="59" spans="26:26">
      <c r="Z59" s="17">
        <v>1.5</v>
      </c>
    </row>
    <row r="60" spans="26:26">
      <c r="Z60" s="17">
        <v>1</v>
      </c>
    </row>
    <row r="63" spans="26:26">
      <c r="Z63" s="17"/>
    </row>
  </sheetData>
  <sheetProtection sheet="1" selectLockedCells="1"/>
  <mergeCells count="11">
    <mergeCell ref="A34:I34"/>
    <mergeCell ref="D10:D16"/>
    <mergeCell ref="I10:I16"/>
    <mergeCell ref="D21:D27"/>
    <mergeCell ref="I21:I27"/>
    <mergeCell ref="J9:K12"/>
    <mergeCell ref="J13:K16"/>
    <mergeCell ref="A1:I1"/>
    <mergeCell ref="A5:I5"/>
    <mergeCell ref="A7:C7"/>
    <mergeCell ref="F7:H7"/>
  </mergeCells>
  <conditionalFormatting sqref="A25:B25">
    <cfRule type="containsBlanks" dxfId="46" priority="57">
      <formula>LEN(TRIM(A25))=0</formula>
    </cfRule>
    <cfRule type="containsBlanks" dxfId="45" priority="58">
      <formula>LEN(TRIM(A25))=0</formula>
    </cfRule>
    <cfRule type="cellIs" dxfId="44" priority="59" operator="lessThan">
      <formula>4</formula>
    </cfRule>
  </conditionalFormatting>
  <conditionalFormatting sqref="A10:C10">
    <cfRule type="containsBlanks" dxfId="43" priority="75">
      <formula>LEN(TRIM(A10))=0</formula>
    </cfRule>
  </conditionalFormatting>
  <conditionalFormatting sqref="A10:C12">
    <cfRule type="containsBlanks" dxfId="42" priority="76">
      <formula>LEN(TRIM(A10))=0</formula>
    </cfRule>
    <cfRule type="cellIs" dxfId="41" priority="77" operator="lessThan">
      <formula>4</formula>
    </cfRule>
  </conditionalFormatting>
  <conditionalFormatting sqref="A21:C21">
    <cfRule type="containsBlanks" dxfId="40" priority="66">
      <formula>LEN(TRIM(A21))=0</formula>
    </cfRule>
  </conditionalFormatting>
  <conditionalFormatting sqref="A21:C23">
    <cfRule type="cellIs" dxfId="39" priority="68" operator="lessThan">
      <formula>4</formula>
    </cfRule>
    <cfRule type="containsBlanks" dxfId="38" priority="67">
      <formula>LEN(TRIM(A21))=0</formula>
    </cfRule>
  </conditionalFormatting>
  <conditionalFormatting sqref="A26:C27">
    <cfRule type="containsBlanks" dxfId="37" priority="130">
      <formula>LEN(TRIM(A26))=0</formula>
    </cfRule>
    <cfRule type="cellIs" dxfId="36" priority="131" operator="lessThan">
      <formula>4</formula>
    </cfRule>
  </conditionalFormatting>
  <conditionalFormatting sqref="A36:C36">
    <cfRule type="containsBlanks" dxfId="35" priority="47">
      <formula>LEN(TRIM(A36))=0</formula>
    </cfRule>
  </conditionalFormatting>
  <conditionalFormatting sqref="A36:C38">
    <cfRule type="containsBlanks" dxfId="34" priority="48">
      <formula>LEN(TRIM(A36))=0</formula>
    </cfRule>
    <cfRule type="cellIs" dxfId="33" priority="49" operator="lessThan">
      <formula>4</formula>
    </cfRule>
  </conditionalFormatting>
  <conditionalFormatting sqref="A40:C40">
    <cfRule type="containsBlanks" dxfId="32" priority="35">
      <formula>LEN(TRIM(A40))=0</formula>
    </cfRule>
  </conditionalFormatting>
  <conditionalFormatting sqref="A40:C42">
    <cfRule type="containsBlanks" dxfId="31" priority="36">
      <formula>LEN(TRIM(A40))=0</formula>
    </cfRule>
    <cfRule type="cellIs" dxfId="30" priority="37" operator="lessThan">
      <formula>4</formula>
    </cfRule>
  </conditionalFormatting>
  <conditionalFormatting sqref="C25">
    <cfRule type="containsBlanks" dxfId="29" priority="50">
      <formula>LEN(TRIM(C25))=0</formula>
    </cfRule>
    <cfRule type="cellIs" dxfId="28" priority="51" operator="lessThan">
      <formula>4</formula>
    </cfRule>
  </conditionalFormatting>
  <conditionalFormatting sqref="D18">
    <cfRule type="cellIs" dxfId="27" priority="4" operator="lessThan">
      <formula>4</formula>
    </cfRule>
  </conditionalFormatting>
  <conditionalFormatting sqref="D29">
    <cfRule type="cellIs" dxfId="26" priority="2" operator="lessThan">
      <formula>4</formula>
    </cfRule>
  </conditionalFormatting>
  <conditionalFormatting sqref="D38 D42 I42 D32 I32 D44 I44">
    <cfRule type="cellIs" dxfId="25" priority="221" operator="lessThan">
      <formula>4</formula>
    </cfRule>
  </conditionalFormatting>
  <conditionalFormatting sqref="D38 I38 D42 I42">
    <cfRule type="containsBlanks" dxfId="24" priority="208">
      <formula>LEN(TRIM(D38))=0</formula>
    </cfRule>
  </conditionalFormatting>
  <conditionalFormatting sqref="F25:G25">
    <cfRule type="containsBlanks" dxfId="23" priority="60">
      <formula>LEN(TRIM(F25))=0</formula>
    </cfRule>
  </conditionalFormatting>
  <conditionalFormatting sqref="F14:H14">
    <cfRule type="containsBlanks" dxfId="22" priority="69">
      <formula>LEN(TRIM(F14))=0</formula>
    </cfRule>
  </conditionalFormatting>
  <conditionalFormatting sqref="F14:H16">
    <cfRule type="containsBlanks" dxfId="21" priority="70">
      <formula>LEN(TRIM(F14))=0</formula>
    </cfRule>
    <cfRule type="cellIs" dxfId="20" priority="71" operator="lessThan">
      <formula>4</formula>
    </cfRule>
  </conditionalFormatting>
  <conditionalFormatting sqref="F21:H21">
    <cfRule type="containsBlanks" dxfId="19" priority="63">
      <formula>LEN(TRIM(F21))=0</formula>
    </cfRule>
  </conditionalFormatting>
  <conditionalFormatting sqref="F21:H23">
    <cfRule type="containsBlanks" dxfId="18" priority="64">
      <formula>LEN(TRIM(F21))=0</formula>
    </cfRule>
    <cfRule type="cellIs" dxfId="17" priority="65" operator="lessThan">
      <formula>4</formula>
    </cfRule>
  </conditionalFormatting>
  <conditionalFormatting sqref="F25:H27">
    <cfRule type="containsBlanks" dxfId="16" priority="61">
      <formula>LEN(TRIM(F25))=0</formula>
    </cfRule>
    <cfRule type="cellIs" dxfId="15" priority="62" operator="lessThan">
      <formula>4</formula>
    </cfRule>
  </conditionalFormatting>
  <conditionalFormatting sqref="F36:H36">
    <cfRule type="containsBlanks" dxfId="14" priority="17">
      <formula>LEN(TRIM(F36))=0</formula>
    </cfRule>
  </conditionalFormatting>
  <conditionalFormatting sqref="F36:H38">
    <cfRule type="cellIs" dxfId="13" priority="19" operator="lessThan">
      <formula>4</formula>
    </cfRule>
    <cfRule type="containsBlanks" dxfId="12" priority="18">
      <formula>LEN(TRIM(F36))=0</formula>
    </cfRule>
  </conditionalFormatting>
  <conditionalFormatting sqref="F40:H40">
    <cfRule type="containsBlanks" dxfId="11" priority="26">
      <formula>LEN(TRIM(F40))=0</formula>
    </cfRule>
  </conditionalFormatting>
  <conditionalFormatting sqref="F40:H42">
    <cfRule type="cellIs" dxfId="10" priority="28" operator="lessThan">
      <formula>4</formula>
    </cfRule>
    <cfRule type="containsBlanks" dxfId="9" priority="27">
      <formula>LEN(TRIM(F40))=0</formula>
    </cfRule>
  </conditionalFormatting>
  <conditionalFormatting sqref="I18">
    <cfRule type="cellIs" dxfId="8" priority="3" operator="lessThan">
      <formula>4</formula>
    </cfRule>
  </conditionalFormatting>
  <conditionalFormatting sqref="I29">
    <cfRule type="cellIs" dxfId="7" priority="1" operator="lessThan">
      <formula>4</formula>
    </cfRule>
  </conditionalFormatting>
  <conditionalFormatting sqref="I38">
    <cfRule type="cellIs" dxfId="6" priority="211" operator="lessThan">
      <formula>4</formula>
    </cfRule>
  </conditionalFormatting>
  <conditionalFormatting sqref="J9:K16">
    <cfRule type="expression" dxfId="5" priority="316">
      <formula>#REF!&lt;&gt;""</formula>
    </cfRule>
  </conditionalFormatting>
  <dataValidations count="1">
    <dataValidation type="list" allowBlank="1" showErrorMessage="1" errorTitle="ERREUR" error="Valeur des notes uniquement entre 1 et 6 par saut de 0.5." sqref="F36:H38 F14:H16 A10:C12 A21:C23 F25:H27 F21:H23 F40:H42 A40:C42 A36:C38 A25:C27" xr:uid="{F90A40E8-FAEA-4DBF-92F7-CB427089947D}">
      <formula1>$Z$50:$Z$60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F54-4FED-421D-9D1B-92D66E0AA9DE}">
  <dimension ref="A1:V34"/>
  <sheetViews>
    <sheetView showGridLines="0" zoomScaleNormal="100" workbookViewId="0">
      <selection activeCell="D3" sqref="D3"/>
    </sheetView>
  </sheetViews>
  <sheetFormatPr defaultColWidth="11.42578125" defaultRowHeight="14.25"/>
  <cols>
    <col min="1" max="9" width="8.85546875" customWidth="1"/>
  </cols>
  <sheetData>
    <row r="1" spans="1:22" ht="4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3" spans="1:22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22" ht="30" customHeight="1">
      <c r="A5" s="23" t="s">
        <v>2</v>
      </c>
      <c r="B5" s="23"/>
      <c r="C5" s="23"/>
      <c r="D5" s="23"/>
      <c r="E5" s="23"/>
      <c r="F5" s="23"/>
      <c r="G5" s="23"/>
      <c r="H5" s="23"/>
      <c r="I5" s="23"/>
    </row>
    <row r="7" spans="1:22">
      <c r="A7" s="27" t="s">
        <v>62</v>
      </c>
      <c r="B7" s="27"/>
      <c r="C7" s="27"/>
      <c r="D7" s="8" t="s">
        <v>4</v>
      </c>
      <c r="E7" s="9"/>
      <c r="V7" s="12">
        <v>2.5</v>
      </c>
    </row>
    <row r="8" spans="1:22" ht="14.65" thickBot="1">
      <c r="V8" s="12">
        <v>2</v>
      </c>
    </row>
    <row r="9" spans="1:22" ht="14.65" thickBot="1">
      <c r="A9" s="29" t="s">
        <v>3</v>
      </c>
      <c r="B9" s="29"/>
      <c r="C9" s="30"/>
      <c r="D9" s="6">
        <f>CPS1MOY</f>
        <v>5.5</v>
      </c>
      <c r="E9" s="2"/>
      <c r="V9" s="12">
        <v>1.5</v>
      </c>
    </row>
    <row r="10" spans="1:22" ht="14.65" thickBot="1">
      <c r="A10" s="29" t="s">
        <v>5</v>
      </c>
      <c r="B10" s="29"/>
      <c r="C10" s="30"/>
      <c r="D10" s="6">
        <f>CPS2MOY</f>
        <v>5</v>
      </c>
      <c r="E10" s="2"/>
      <c r="V10" s="12">
        <v>1</v>
      </c>
    </row>
    <row r="11" spans="1:22" ht="14.65" thickBot="1">
      <c r="A11" s="29" t="s">
        <v>26</v>
      </c>
      <c r="B11" s="29"/>
      <c r="C11" s="30"/>
      <c r="D11" s="6" t="str">
        <f>CPS3MOY</f>
        <v/>
      </c>
      <c r="E11" s="2"/>
    </row>
    <row r="12" spans="1:22" ht="14.65" thickBot="1">
      <c r="A12" s="29" t="s">
        <v>27</v>
      </c>
      <c r="B12" s="29"/>
      <c r="C12" s="30"/>
      <c r="D12" s="6" t="str">
        <f>CPS4MOY</f>
        <v/>
      </c>
      <c r="E12" s="2"/>
    </row>
    <row r="13" spans="1:22" ht="14.65" thickBot="1">
      <c r="A13" s="29" t="s">
        <v>40</v>
      </c>
      <c r="B13" s="29"/>
      <c r="C13" s="30"/>
      <c r="D13" s="6" t="str">
        <f>[0]!CPS5MOY</f>
        <v/>
      </c>
      <c r="E13" s="2"/>
    </row>
    <row r="14" spans="1:22" ht="14.65" thickBot="1">
      <c r="A14" s="29" t="s">
        <v>41</v>
      </c>
      <c r="B14" s="29"/>
      <c r="C14" s="30"/>
      <c r="D14" s="6" t="str">
        <f>[0]!CPS6MOY</f>
        <v/>
      </c>
      <c r="E14" s="2"/>
    </row>
    <row r="15" spans="1:22" ht="14.65" thickBot="1">
      <c r="A15" s="29" t="s">
        <v>52</v>
      </c>
      <c r="B15" s="29"/>
      <c r="C15" s="30"/>
      <c r="D15" s="6" t="str">
        <f>IELE4_SEMESTRES_78!CPS7MOY</f>
        <v/>
      </c>
      <c r="E15" s="2"/>
    </row>
    <row r="16" spans="1:22" ht="14.65" thickBot="1">
      <c r="A16" s="29" t="s">
        <v>53</v>
      </c>
      <c r="B16" s="29"/>
      <c r="C16" s="30"/>
      <c r="D16" s="6" t="str">
        <f>IELE4_SEMESTRES_78!CPS8MOY</f>
        <v/>
      </c>
      <c r="E16" s="2"/>
    </row>
    <row r="17" spans="1:9" ht="14.65" thickBot="1">
      <c r="A17" s="2"/>
      <c r="B17" s="2"/>
      <c r="C17" s="2"/>
      <c r="D17" s="2"/>
      <c r="E17" s="2"/>
    </row>
    <row r="18" spans="1:9" ht="15" thickTop="1" thickBot="1">
      <c r="A18" s="2" t="s">
        <v>63</v>
      </c>
      <c r="B18" s="2"/>
      <c r="C18" s="2"/>
      <c r="D18" s="7">
        <f>IF(ISERROR(AVERAGE(D9:D16)),"",MROUND(AVERAGE(D9:D16),0.5))</f>
        <v>5.5</v>
      </c>
      <c r="E18" s="2"/>
    </row>
    <row r="19" spans="1:9" ht="14.65" thickTop="1"/>
    <row r="20" spans="1:9" s="1" customFormat="1" ht="30" customHeight="1">
      <c r="A20" s="23" t="s">
        <v>20</v>
      </c>
      <c r="B20" s="23"/>
      <c r="C20" s="23"/>
      <c r="D20" s="23"/>
      <c r="E20" s="23"/>
      <c r="F20" s="23"/>
      <c r="G20" s="23"/>
      <c r="H20" s="23"/>
      <c r="I20" s="23"/>
    </row>
    <row r="21" spans="1:9" ht="14.65" thickBot="1"/>
    <row r="22" spans="1:9" ht="14.65" thickBot="1">
      <c r="A22" s="29" t="s">
        <v>3</v>
      </c>
      <c r="B22" s="29"/>
      <c r="C22" s="30"/>
      <c r="D22" s="6" t="str">
        <f>ECGS1MOY</f>
        <v/>
      </c>
    </row>
    <row r="23" spans="1:9" ht="14.65" thickBot="1">
      <c r="A23" s="29" t="s">
        <v>5</v>
      </c>
      <c r="B23" s="29"/>
      <c r="C23" s="30"/>
      <c r="D23" s="6" t="str">
        <f>ECGS2MOY</f>
        <v/>
      </c>
    </row>
    <row r="24" spans="1:9" ht="14.65" thickBot="1">
      <c r="A24" s="29" t="s">
        <v>26</v>
      </c>
      <c r="B24" s="29"/>
      <c r="C24" s="30"/>
      <c r="D24" s="6" t="str">
        <f>ECGS3MOY</f>
        <v/>
      </c>
    </row>
    <row r="25" spans="1:9" ht="14.65" thickBot="1">
      <c r="A25" s="29" t="s">
        <v>27</v>
      </c>
      <c r="B25" s="29"/>
      <c r="C25" s="30"/>
      <c r="D25" s="6" t="str">
        <f>ECGS4MOY</f>
        <v/>
      </c>
    </row>
    <row r="26" spans="1:9" ht="14.65" thickBot="1">
      <c r="A26" s="29" t="s">
        <v>40</v>
      </c>
      <c r="B26" s="29"/>
      <c r="C26" s="30"/>
      <c r="D26" s="6" t="str">
        <f>ECGS5MOY</f>
        <v/>
      </c>
    </row>
    <row r="27" spans="1:9" ht="14.65" thickBot="1">
      <c r="A27" s="29" t="s">
        <v>41</v>
      </c>
      <c r="B27" s="29"/>
      <c r="C27" s="30"/>
      <c r="D27" s="6" t="str">
        <f>ECGS6MOY</f>
        <v/>
      </c>
    </row>
    <row r="28" spans="1:9" ht="14.65" thickBot="1">
      <c r="A28" s="29" t="s">
        <v>52</v>
      </c>
      <c r="B28" s="29"/>
      <c r="C28" s="30"/>
      <c r="D28" s="6" t="str">
        <f>IELE4_SEMESTRES_78!ECGS7MOY</f>
        <v/>
      </c>
    </row>
    <row r="29" spans="1:9" ht="14.65" thickBot="1">
      <c r="A29" s="29" t="s">
        <v>53</v>
      </c>
      <c r="B29" s="29"/>
      <c r="C29" s="30"/>
      <c r="D29" s="6" t="str">
        <f>IELE4_SEMESTRES_78!ECGS8MOY</f>
        <v/>
      </c>
      <c r="E29" s="2"/>
      <c r="F29" s="2"/>
      <c r="G29" s="2"/>
      <c r="H29" s="2"/>
      <c r="I29" s="2"/>
    </row>
    <row r="30" spans="1:9" ht="14.65" thickBot="1">
      <c r="A30" s="2"/>
      <c r="B30" s="2"/>
      <c r="C30" s="2"/>
      <c r="D30" s="2"/>
      <c r="E30" s="2"/>
    </row>
    <row r="31" spans="1:9" ht="15" thickTop="1" thickBot="1">
      <c r="A31" s="2" t="s">
        <v>64</v>
      </c>
      <c r="B31" s="2"/>
      <c r="C31" s="2"/>
      <c r="D31" s="7" t="str">
        <f>IF(ISERROR(AVERAGE(D22:D29)),"",MROUND(AVERAGE(D22:D29),0.5))</f>
        <v/>
      </c>
    </row>
    <row r="32" spans="1:9" ht="14.65" thickTop="1"/>
    <row r="33" spans="1:1">
      <c r="A33" s="2" t="s">
        <v>24</v>
      </c>
    </row>
    <row r="34" spans="1:1">
      <c r="A34" s="2" t="s">
        <v>25</v>
      </c>
    </row>
  </sheetData>
  <sheetProtection sheet="1" selectLockedCells="1"/>
  <mergeCells count="20">
    <mergeCell ref="A27:C27"/>
    <mergeCell ref="A28:C28"/>
    <mergeCell ref="A29:C29"/>
    <mergeCell ref="A22:C22"/>
    <mergeCell ref="A23:C23"/>
    <mergeCell ref="A24:C24"/>
    <mergeCell ref="A25:C25"/>
    <mergeCell ref="A26:C26"/>
    <mergeCell ref="A1:I1"/>
    <mergeCell ref="A5:I5"/>
    <mergeCell ref="A7:C7"/>
    <mergeCell ref="A20:I20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D9:D16">
    <cfRule type="containsBlanks" dxfId="4" priority="4">
      <formula>LEN(TRIM(D9))=0</formula>
    </cfRule>
    <cfRule type="containsBlanks" priority="5">
      <formula>LEN(TRIM(D9))=0</formula>
    </cfRule>
    <cfRule type="cellIs" dxfId="3" priority="7" operator="lessThan">
      <formula>4</formula>
    </cfRule>
  </conditionalFormatting>
  <conditionalFormatting sqref="D18 D31">
    <cfRule type="cellIs" dxfId="2" priority="8" operator="lessThan">
      <formula>4</formula>
    </cfRule>
  </conditionalFormatting>
  <conditionalFormatting sqref="D22:D29">
    <cfRule type="containsBlanks" dxfId="1" priority="1">
      <formula>LEN(TRIM(D22))=0</formula>
    </cfRule>
    <cfRule type="containsBlanks" priority="2">
      <formula>LEN(TRIM(D22))=0</formula>
    </cfRule>
    <cfRule type="cellIs" dxfId="0" priority="3" operator="lessThan">
      <formula>4</formula>
    </cfRule>
  </conditionalFormatting>
  <dataValidations disablePrompts="1" count="1">
    <dataValidation type="list" allowBlank="1" showErrorMessage="1" errorTitle="ERREUR" error="Valeur des notes uniquement entre 1 et 6 par saut de 0.5." sqref="B11:C11 B26:C26 B24:C24 B13:C13" xr:uid="{4B5B6145-CF11-4C43-8048-FE3271339623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C8AB-05B1-4391-9816-BAA6BC768905}">
  <dimension ref="A1:H1"/>
  <sheetViews>
    <sheetView showGridLines="0" zoomScale="130" zoomScaleNormal="130" workbookViewId="0">
      <selection sqref="A1:H1"/>
    </sheetView>
  </sheetViews>
  <sheetFormatPr defaultColWidth="11.42578125" defaultRowHeight="14.25"/>
  <sheetData>
    <row r="1" spans="1:8">
      <c r="A1" s="31" t="str">
        <f>HYPERLINK("https://orchid-saturnalia-96f.notion.site/Installateur-trice-lectricien-ne-CFC-21bc83065277813dae43f1b45b1b05a5","EIT.SWISS IELE")</f>
        <v>EIT.SWISS IELE</v>
      </c>
      <c r="B1" s="31"/>
      <c r="C1" s="31"/>
      <c r="D1" s="31"/>
      <c r="E1" s="31"/>
      <c r="F1" s="31"/>
      <c r="G1" s="31"/>
      <c r="H1" s="31"/>
    </row>
  </sheetData>
  <sheetProtection sheet="1" objects="1" scenarios="1"/>
  <mergeCells count="1">
    <mergeCell ref="A1:H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7" ma:contentTypeDescription="Crée un document." ma:contentTypeScope="" ma:versionID="bba3fdba579c90fdf017b41b7810ec8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983b165c06fe95fdbadfc26f9de32b2f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B4B29-3930-4FEB-B599-9753D940830C}"/>
</file>

<file path=customXml/itemProps2.xml><?xml version="1.0" encoding="utf-8"?>
<ds:datastoreItem xmlns:ds="http://schemas.openxmlformats.org/officeDocument/2006/customXml" ds:itemID="{30C48905-0D8C-4C33-8536-9F3B3084EB3A}"/>
</file>

<file path=customXml/itemProps3.xml><?xml version="1.0" encoding="utf-8"?>
<ds:datastoreItem xmlns:ds="http://schemas.openxmlformats.org/officeDocument/2006/customXml" ds:itemID="{8EAE8581-50D9-4610-9C33-5BC8EE91F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Maccaud</dc:creator>
  <cp:keywords/>
  <dc:description/>
  <cp:lastModifiedBy>Olivier Maccaud</cp:lastModifiedBy>
  <cp:revision/>
  <dcterms:created xsi:type="dcterms:W3CDTF">2024-03-11T19:14:30Z</dcterms:created>
  <dcterms:modified xsi:type="dcterms:W3CDTF">2026-06-25T09:36:07Z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