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XTES_\EPSIC\ADMIN\ADMIN_DOMAINE_SANDRO\EIT_PQ_2026\ORFO_2026_FICHIERS_SANDRO\2026_ORFO_NOTES_ETIQUETTES_NUMERIQUES\"/>
    </mc:Choice>
  </mc:AlternateContent>
  <xr:revisionPtr revIDLastSave="0" documentId="13_ncr:1_{C96FA08B-F278-493E-B8B0-6E59FA56680A}" xr6:coauthVersionLast="47" xr6:coauthVersionMax="47" xr10:uidLastSave="{00000000-0000-0000-0000-000000000000}"/>
  <bookViews>
    <workbookView xWindow="-98" yWindow="-98" windowWidth="21795" windowHeight="12975" xr2:uid="{24446EAE-FF7B-4720-8461-B68F93A38A30}"/>
  </bookViews>
  <sheets>
    <sheet name="ELMO1_SEMESTRES_12" sheetId="14" r:id="rId1"/>
    <sheet name="ELMO2_SEMESTRES_34" sheetId="12" r:id="rId2"/>
    <sheet name="ELMO3_SEMESTRES_56" sheetId="15" r:id="rId3"/>
    <sheet name="CP_ECG_ELMO_BILAN" sheetId="10" r:id="rId4"/>
    <sheet name="EIT.SWISS ELMO" sheetId="6" r:id="rId5"/>
  </sheets>
  <definedNames>
    <definedName name="CPS1MOY">ELMO1_SEMESTRES_12!$D$27</definedName>
    <definedName name="CPS2MOY">ELMO1_SEMESTRES_12!$I$27</definedName>
    <definedName name="CPS3MOY">ELMO2_SEMESTRES_34!$D$27</definedName>
    <definedName name="CPS4MOY">ELMO2_SEMESTRES_34!$I$27</definedName>
    <definedName name="CPS5MOY">ELMO3_SEMESTRES_56!$D$27</definedName>
    <definedName name="CPS6MOY">ELMO3_SEMESTRES_56!$I$27</definedName>
    <definedName name="DCOABCS1">ELMO1_SEMESTRES_12!$A$10:$C$16</definedName>
    <definedName name="DCOABCS1MOY">ELMO1_SEMESTRES_12!$D$18</definedName>
    <definedName name="DCOABCS2">ELMO1_SEMESTRES_12!$F$10:$H$16</definedName>
    <definedName name="DCOABCS2MOY">ELMO1_SEMESTRES_12!$I$18</definedName>
    <definedName name="DCOABCS3">ELMO2_SEMESTRES_34!$A$10:$C$16</definedName>
    <definedName name="DCOABCS3MOY">ELMO2_SEMESTRES_34!$D$18</definedName>
    <definedName name="DCOABCS4">ELMO2_SEMESTRES_34!$F$10:$H$16</definedName>
    <definedName name="DCOABCS4MOY">ELMO2_SEMESTRES_34!$I$18</definedName>
    <definedName name="DCOABCS5">ELMO3_SEMESTRES_56!$A$10:$C$16</definedName>
    <definedName name="DCOABCS5MOY">ELMO3_SEMESTRES_56!$D$18</definedName>
    <definedName name="DCOABCS6">ELMO3_SEMESTRES_56!$F$10:$H$16</definedName>
    <definedName name="DCOABCS6MOY">ELMO3_SEMESTRES_56!$I$18</definedName>
    <definedName name="DCODS1">ELMO1_SEMESTRES_12!$A$21:$C$23</definedName>
    <definedName name="DCODS1MOY">ELMO1_SEMESTRES_12!$D$25</definedName>
    <definedName name="DCODS2">ELMO1_SEMESTRES_12!$F$21:$H$23</definedName>
    <definedName name="DCODS2MOY">ELMO1_SEMESTRES_12!$I$25</definedName>
    <definedName name="DCODS3">ELMO2_SEMESTRES_34!$A$21:$C$23</definedName>
    <definedName name="DCODS3MOY">ELMO2_SEMESTRES_34!$D$25</definedName>
    <definedName name="DCODS4">ELMO2_SEMESTRES_34!$F$21:$H$23</definedName>
    <definedName name="DCODS4MOY">ELMO2_SEMESTRES_34!$I$25</definedName>
    <definedName name="DCODS5">ELMO3_SEMESTRES_56!$A$21:$C$23</definedName>
    <definedName name="DCODS5MOY">ELMO3_SEMESTRES_56!$D$25</definedName>
    <definedName name="DCODS6">ELMO3_SEMESTRES_56!$F$21:$H$23</definedName>
    <definedName name="DCODS6MOY">ELMO3_SEMESTRES_56!$I$25</definedName>
    <definedName name="ECGLCS1">ELMO1_SEMESTRES_12!$A$31:$C$33</definedName>
    <definedName name="ECGLCS1MOY">ELMO1_SEMESTRES_12!$D$33</definedName>
    <definedName name="ECGLCS2">ELMO1_SEMESTRES_12!$F$31:$H$33</definedName>
    <definedName name="ECGLCS2MOY">ELMO1_SEMESTRES_12!$I$33</definedName>
    <definedName name="ECGLCS3">ELMO2_SEMESTRES_34!$A$31:$C$33</definedName>
    <definedName name="ECGLCS3MOY">ELMO2_SEMESTRES_34!$D$33</definedName>
    <definedName name="ECGLCS4">ELMO2_SEMESTRES_34!$F$31:$H$33</definedName>
    <definedName name="ECGLCS4MOY">ELMO2_SEMESTRES_34!$I$33</definedName>
    <definedName name="ECGLCS5">ELMO3_SEMESTRES_56!$A$31:$C$33</definedName>
    <definedName name="ECGLCS5MOY">ELMO3_SEMESTRES_56!$D$33</definedName>
    <definedName name="ECGLCS6">ELMO3_SEMESTRES_56!$F$31:$H$33</definedName>
    <definedName name="ECGLCS6MOY">ELMO3_SEMESTRES_56!$I$33</definedName>
    <definedName name="ECGS1MOY">ELMO1_SEMESTRES_12!$D$39</definedName>
    <definedName name="ECGS2MOY">ELMO1_SEMESTRES_12!$I$39</definedName>
    <definedName name="ECGS3MOY">ELMO2_SEMESTRES_34!$D$39</definedName>
    <definedName name="ECGS4MOY">ELMO2_SEMESTRES_34!$I$39</definedName>
    <definedName name="ECGS5MOY">ELMO3_SEMESTRES_56!$D$39</definedName>
    <definedName name="ECGS6MOY">ELMO3_SEMESTRES_56!$I$39</definedName>
    <definedName name="ECGSOS1">ELMO1_SEMESTRES_12!$A$35:$C$37</definedName>
    <definedName name="ECGSOS1MOY">ELMO1_SEMESTRES_12!$D$37</definedName>
    <definedName name="ECGSOS2">ELMO1_SEMESTRES_12!$F$35:$H$37</definedName>
    <definedName name="ECGSOS2MOY">ELMO1_SEMESTRES_12!$I$37</definedName>
    <definedName name="ECGSOS3">ELMO2_SEMESTRES_34!$A$35:$C$37</definedName>
    <definedName name="ECGSOS3MOY">ELMO2_SEMESTRES_34!$D$37</definedName>
    <definedName name="ECGSOS4">ELMO2_SEMESTRES_34!$F$35:$H$37</definedName>
    <definedName name="ECGSOS4MOY">ELMO2_SEMESTRES_34!$I$37</definedName>
    <definedName name="ECGSOS5">ELMO3_SEMESTRES_56!$A$35:$C$37</definedName>
    <definedName name="ECGSOS5MOY">ELMO3_SEMESTRES_56!$D$37</definedName>
    <definedName name="ECGSOS6">ELMO3_SEMESTRES_56!$F$35:$H$37</definedName>
    <definedName name="ECGSOS6MOY">ELMO3_SEMESTRES_56!$I$37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5" l="1"/>
  <c r="D25" i="15"/>
  <c r="I18" i="15"/>
  <c r="I27" i="15" s="1"/>
  <c r="D18" i="15"/>
  <c r="D27" i="15" s="1"/>
  <c r="I25" i="12"/>
  <c r="D25" i="12"/>
  <c r="D18" i="12"/>
  <c r="D27" i="12" s="1"/>
  <c r="I18" i="12"/>
  <c r="I18" i="14"/>
  <c r="D18" i="14"/>
  <c r="I25" i="14"/>
  <c r="D25" i="14"/>
  <c r="D27" i="14" l="1"/>
  <c r="I27" i="14"/>
  <c r="I27" i="12"/>
  <c r="A1" i="6" l="1"/>
  <c r="D37" i="15" l="1"/>
  <c r="I37" i="15"/>
  <c r="D33" i="15"/>
  <c r="D13" i="10" l="1"/>
  <c r="D39" i="15"/>
  <c r="D24" i="10" s="1"/>
  <c r="D14" i="10"/>
  <c r="D37" i="14"/>
  <c r="D33" i="14"/>
  <c r="I33" i="14"/>
  <c r="I37" i="14"/>
  <c r="D37" i="12"/>
  <c r="I37" i="12"/>
  <c r="I33" i="12"/>
  <c r="D33" i="12"/>
  <c r="D10" i="10" l="1"/>
  <c r="D9" i="10"/>
  <c r="D11" i="10"/>
  <c r="I39" i="14"/>
  <c r="D21" i="10" s="1"/>
  <c r="D39" i="14"/>
  <c r="D20" i="10" s="1"/>
  <c r="D12" i="10"/>
  <c r="I39" i="12"/>
  <c r="D23" i="10" s="1"/>
  <c r="D39" i="12"/>
  <c r="D22" i="10" s="1"/>
  <c r="D16" i="10" l="1"/>
  <c r="I33" i="15" l="1"/>
  <c r="I39" i="15" s="1"/>
  <c r="D25" i="10" l="1"/>
  <c r="D27" i="10" s="1"/>
</calcChain>
</file>

<file path=xl/sharedStrings.xml><?xml version="1.0" encoding="utf-8"?>
<sst xmlns="http://schemas.openxmlformats.org/spreadsheetml/2006/main" count="118" uniqueCount="43">
  <si>
    <t>Électricien/ne de montage CFC</t>
  </si>
  <si>
    <t>Nom et prénom :</t>
  </si>
  <si>
    <t>Connaissances professionnelles «CP»</t>
  </si>
  <si>
    <t>Semestre 1</t>
  </si>
  <si>
    <t>Moyenne</t>
  </si>
  <si>
    <t>Semestre 2</t>
  </si>
  <si>
    <t>Moyenne de «CP»</t>
  </si>
  <si>
    <t>Culture générale «ECG»</t>
  </si>
  <si>
    <t>Langues et commun.</t>
  </si>
  <si>
    <t>Société</t>
  </si>
  <si>
    <t>Moyenne d'«ECG»</t>
  </si>
  <si>
    <t>Toutes les notes et les moyennes sont arrondies à 0.5</t>
  </si>
  <si>
    <t>Important : ce bulletin est mis à disposition à titre indicatif. Seul le bulletin officiel fait foi.</t>
  </si>
  <si>
    <t>Semestre 3</t>
  </si>
  <si>
    <t>Semestre 4</t>
  </si>
  <si>
    <t>Semestre 5</t>
  </si>
  <si>
    <t>Semestre 6</t>
  </si>
  <si>
    <t>Semestres</t>
  </si>
  <si>
    <t>Moyenne d'«ECG» 3 ans</t>
  </si>
  <si>
    <t>Moyenne de «CP» 3 ans</t>
  </si>
  <si>
    <t>OR-ELMO 11</t>
  </si>
  <si>
    <t>DCO ABC</t>
  </si>
  <si>
    <t>RI-ELMO 12</t>
  </si>
  <si>
    <t>DCO D</t>
  </si>
  <si>
    <t>F-ELMO 13</t>
  </si>
  <si>
    <t>ORI-ELMO 21</t>
  </si>
  <si>
    <t>I-ELMO 22</t>
  </si>
  <si>
    <t>F-ELMO 23</t>
  </si>
  <si>
    <t>ORI-ELMO 31</t>
  </si>
  <si>
    <t>I-ELMO 32</t>
  </si>
  <si>
    <t>F-ELMO 33</t>
  </si>
  <si>
    <t>Moyenne S1 «DCO ABC»</t>
  </si>
  <si>
    <t>Moyenne S2 «DCO ABC»</t>
  </si>
  <si>
    <t>Moyenne S1 «DCO D»</t>
  </si>
  <si>
    <t>Moyenne S2 «DCO D»</t>
  </si>
  <si>
    <t>Moyenne S3 «DCO ABC»</t>
  </si>
  <si>
    <t>Moyenne S4 «DCO ABC»</t>
  </si>
  <si>
    <t>Moyenne S3 «DCO D»</t>
  </si>
  <si>
    <t>Moyenne S4 «DCO D»</t>
  </si>
  <si>
    <t>Moyenne S5 «DCO ABC»</t>
  </si>
  <si>
    <t>Moyenne S6 «DCO ABC»</t>
  </si>
  <si>
    <t>Moyenne S5 «DCO D»</t>
  </si>
  <si>
    <t>Moyenne S6 «DCO D»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</si>
</sst>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0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Aptos Narrow"/>
      <family val="2"/>
      <scheme val="minor"/>
    </font>
    <font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C0000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3" xfId="0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8" fillId="0" borderId="0" xfId="0" applyFont="1"/>
    <xf numFmtId="0" fontId="4" fillId="0" borderId="5" xfId="0" applyFont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1" fillId="0" borderId="0" xfId="0" applyFo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1" applyAlignment="1">
      <alignment horizontal="center"/>
    </xf>
    <xf numFmtId="0" fontId="12" fillId="4" borderId="0" xfId="0" applyFont="1" applyFill="1" applyAlignment="1">
      <alignment horizontal="center" vertical="center" textRotation="90"/>
    </xf>
  </cellXfs>
  <cellStyles count="2">
    <cellStyle name="Lien hypertexte" xfId="1" builtinId="8"/>
    <cellStyle name="Normal" xfId="0" builtinId="0"/>
  </cellStyles>
  <dxfs count="77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C00002"/>
      <color rgb="FFFFDDDD"/>
      <color rgb="FFFFCCCC"/>
      <color rgb="FFFFFFFF"/>
      <color rgb="FFFF9999"/>
      <color rgb="FFFF7C80"/>
      <color rgb="FFF4A49E"/>
      <color rgb="FF9A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436-4E2C-455E-A39D-BDA0BF120069}">
  <dimension ref="A1:Z82"/>
  <sheetViews>
    <sheetView showGridLines="0" tabSelected="1" zoomScaleNormal="100" workbookViewId="0">
      <selection activeCell="D3" sqref="D3"/>
    </sheetView>
  </sheetViews>
  <sheetFormatPr baseColWidth="10" defaultColWidth="11.46484375" defaultRowHeight="14.25" x14ac:dyDescent="0.45"/>
  <cols>
    <col min="1" max="9" width="8.6640625" customWidth="1"/>
    <col min="26" max="26" width="11.53125" style="15"/>
  </cols>
  <sheetData>
    <row r="1" spans="1:9" ht="45" customHeight="1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9" s="5" customFormat="1" ht="25.2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9" ht="30" customHeight="1" x14ac:dyDescent="0.45">
      <c r="A5" s="18" t="s">
        <v>2</v>
      </c>
      <c r="B5" s="18"/>
      <c r="C5" s="18"/>
      <c r="D5" s="18"/>
      <c r="E5" s="18"/>
      <c r="F5" s="18"/>
      <c r="G5" s="18"/>
      <c r="H5" s="18"/>
      <c r="I5" s="18"/>
    </row>
    <row r="7" spans="1:9" x14ac:dyDescent="0.45">
      <c r="A7" s="19" t="s">
        <v>3</v>
      </c>
      <c r="B7" s="19"/>
      <c r="C7" s="19"/>
      <c r="D7" s="8" t="s">
        <v>4</v>
      </c>
      <c r="E7" s="9"/>
      <c r="F7" s="19" t="s">
        <v>5</v>
      </c>
      <c r="G7" s="19"/>
      <c r="H7" s="19"/>
      <c r="I7" s="8" t="s">
        <v>4</v>
      </c>
    </row>
    <row r="9" spans="1:9" x14ac:dyDescent="0.45">
      <c r="A9" s="2" t="s">
        <v>20</v>
      </c>
      <c r="B9" s="2"/>
      <c r="C9" s="2"/>
      <c r="D9" s="2"/>
      <c r="E9" s="2"/>
      <c r="F9" s="2" t="s">
        <v>20</v>
      </c>
      <c r="G9" s="2"/>
      <c r="H9" s="2"/>
      <c r="I9" s="2"/>
    </row>
    <row r="10" spans="1:9" x14ac:dyDescent="0.45">
      <c r="A10" s="14"/>
      <c r="B10" s="14"/>
      <c r="C10" s="14"/>
      <c r="D10" s="23" t="s">
        <v>21</v>
      </c>
      <c r="E10" s="3"/>
      <c r="F10" s="14"/>
      <c r="G10" s="14"/>
      <c r="H10" s="14"/>
      <c r="I10" s="23" t="s">
        <v>21</v>
      </c>
    </row>
    <row r="11" spans="1:9" x14ac:dyDescent="0.45">
      <c r="A11" s="13"/>
      <c r="B11" s="13"/>
      <c r="C11" s="13"/>
      <c r="D11" s="23"/>
      <c r="E11" s="3"/>
      <c r="F11" s="13"/>
      <c r="G11" s="13"/>
      <c r="H11" s="13"/>
      <c r="I11" s="23"/>
    </row>
    <row r="12" spans="1:9" x14ac:dyDescent="0.45">
      <c r="A12" s="13"/>
      <c r="B12" s="13"/>
      <c r="C12" s="13"/>
      <c r="D12" s="23"/>
      <c r="E12" s="3"/>
      <c r="F12" s="13"/>
      <c r="G12" s="13"/>
      <c r="H12" s="13"/>
      <c r="I12" s="23"/>
    </row>
    <row r="13" spans="1:9" x14ac:dyDescent="0.45">
      <c r="A13" s="2" t="s">
        <v>22</v>
      </c>
      <c r="D13" s="23"/>
      <c r="E13" s="2"/>
      <c r="F13" s="2" t="s">
        <v>22</v>
      </c>
      <c r="I13" s="23"/>
    </row>
    <row r="14" spans="1:9" x14ac:dyDescent="0.45">
      <c r="A14" s="14"/>
      <c r="B14" s="14"/>
      <c r="C14" s="13"/>
      <c r="D14" s="23"/>
      <c r="E14" s="3"/>
      <c r="F14" s="14"/>
      <c r="G14" s="14"/>
      <c r="H14" s="13"/>
      <c r="I14" s="23"/>
    </row>
    <row r="15" spans="1:9" x14ac:dyDescent="0.45">
      <c r="A15" s="14"/>
      <c r="B15" s="14"/>
      <c r="C15" s="13"/>
      <c r="D15" s="23"/>
      <c r="E15" s="3"/>
      <c r="F15" s="13"/>
      <c r="G15" s="13"/>
      <c r="H15" s="13"/>
      <c r="I15" s="23"/>
    </row>
    <row r="16" spans="1:9" x14ac:dyDescent="0.45">
      <c r="A16" s="13"/>
      <c r="B16" s="13"/>
      <c r="C16" s="13"/>
      <c r="D16" s="23"/>
      <c r="E16" s="3"/>
      <c r="F16" s="13"/>
      <c r="G16" s="13"/>
      <c r="H16" s="13"/>
      <c r="I16" s="23"/>
    </row>
    <row r="17" spans="1:26" ht="15" customHeight="1" thickBot="1" x14ac:dyDescent="0.7">
      <c r="Z17" s="16"/>
    </row>
    <row r="18" spans="1:26" ht="15" customHeight="1" thickBot="1" x14ac:dyDescent="0.7">
      <c r="A18" s="2" t="s">
        <v>31</v>
      </c>
      <c r="D18" s="6" t="str">
        <f>IF(ISERROR(AVERAGE(DCOABCS1)),"",MROUND(AVERAGE(DCOABCS1),0.5))</f>
        <v/>
      </c>
      <c r="F18" s="2" t="s">
        <v>32</v>
      </c>
      <c r="I18" s="6" t="str">
        <f>IF(ISERROR(AVERAGE(DCOABCS2)),"",MROUND(AVERAGE(DCOABCS2),0.5))</f>
        <v/>
      </c>
      <c r="Z18" s="16"/>
    </row>
    <row r="19" spans="1:26" ht="15" customHeight="1" x14ac:dyDescent="0.65">
      <c r="Z19" s="16"/>
    </row>
    <row r="20" spans="1:26" x14ac:dyDescent="0.45">
      <c r="A20" s="2" t="s">
        <v>24</v>
      </c>
      <c r="D20" s="23" t="s">
        <v>23</v>
      </c>
      <c r="E20" s="2"/>
      <c r="F20" s="2" t="s">
        <v>24</v>
      </c>
      <c r="I20" s="23" t="s">
        <v>23</v>
      </c>
    </row>
    <row r="21" spans="1:26" x14ac:dyDescent="0.45">
      <c r="A21" s="14"/>
      <c r="B21" s="14"/>
      <c r="C21" s="14"/>
      <c r="D21" s="23"/>
      <c r="E21" s="3"/>
      <c r="F21" s="14"/>
      <c r="G21" s="14"/>
      <c r="H21" s="14"/>
      <c r="I21" s="23"/>
    </row>
    <row r="22" spans="1:26" x14ac:dyDescent="0.45">
      <c r="A22" s="13"/>
      <c r="B22" s="13"/>
      <c r="C22" s="13"/>
      <c r="D22" s="23"/>
      <c r="E22" s="3"/>
      <c r="F22" s="13"/>
      <c r="G22" s="13"/>
      <c r="H22" s="13"/>
      <c r="I22" s="23"/>
    </row>
    <row r="23" spans="1:26" ht="15" customHeight="1" x14ac:dyDescent="0.65">
      <c r="A23" s="13"/>
      <c r="B23" s="13"/>
      <c r="C23" s="13"/>
      <c r="D23" s="23"/>
      <c r="E23" s="3"/>
      <c r="F23" s="13"/>
      <c r="G23" s="13"/>
      <c r="H23" s="13"/>
      <c r="I23" s="23"/>
      <c r="Z23" s="16"/>
    </row>
    <row r="24" spans="1:26" ht="14.65" thickBot="1" x14ac:dyDescent="0.5"/>
    <row r="25" spans="1:26" ht="14.65" thickBot="1" x14ac:dyDescent="0.5">
      <c r="A25" s="2" t="s">
        <v>33</v>
      </c>
      <c r="D25" s="6" t="str">
        <f>IF(ISERROR(AVERAGE(DCODS1)),"",MROUND(AVERAGE(DCODS1),0.5))</f>
        <v/>
      </c>
      <c r="F25" s="2" t="s">
        <v>34</v>
      </c>
      <c r="I25" s="6" t="str">
        <f>IF(ISERROR(AVERAGE(DCODS2)),"",MROUND(AVERAGE(DCODS2),0.5))</f>
        <v/>
      </c>
    </row>
    <row r="26" spans="1:26" ht="14.65" thickBot="1" x14ac:dyDescent="0.5"/>
    <row r="27" spans="1:26" ht="15" thickTop="1" thickBot="1" x14ac:dyDescent="0.5">
      <c r="A27" s="2" t="s">
        <v>6</v>
      </c>
      <c r="B27" s="2"/>
      <c r="C27" s="2"/>
      <c r="D27" s="7" t="str">
        <f>IF(ISERROR(AVERAGE(DCOABCS1MOY,DCODS1MOY)),"",MROUND(AVERAGE(DCOABCS1MOY,DCODS1MOY),0.5))</f>
        <v/>
      </c>
      <c r="E27" s="2"/>
      <c r="F27" s="2" t="s">
        <v>6</v>
      </c>
      <c r="G27" s="2"/>
      <c r="H27" s="2"/>
      <c r="I27" s="7" t="str">
        <f>IF(ISERROR(AVERAGE(DCOABCS2MOY,DCODS2MOY)),"",MROUND(AVERAGE(DCOABCS2MOY,DCODS2MOY),0.5))</f>
        <v/>
      </c>
    </row>
    <row r="28" spans="1:26" ht="14.65" thickTop="1" x14ac:dyDescent="0.45"/>
    <row r="29" spans="1:26" s="1" customFormat="1" ht="30" customHeight="1" x14ac:dyDescent="0.65">
      <c r="A29" s="18" t="s">
        <v>7</v>
      </c>
      <c r="B29" s="18"/>
      <c r="C29" s="18"/>
      <c r="D29" s="18"/>
      <c r="E29" s="18"/>
      <c r="F29" s="18"/>
      <c r="G29" s="18"/>
      <c r="H29" s="18"/>
      <c r="I29" s="18"/>
      <c r="Z29" s="15"/>
    </row>
    <row r="30" spans="1:26" x14ac:dyDescent="0.45">
      <c r="A30" s="2" t="s">
        <v>8</v>
      </c>
      <c r="B30" s="2"/>
      <c r="C30" s="2"/>
      <c r="D30" s="2"/>
      <c r="E30" s="2"/>
      <c r="F30" s="2" t="s">
        <v>8</v>
      </c>
      <c r="G30" s="2"/>
      <c r="H30" s="2"/>
      <c r="I30" s="2"/>
    </row>
    <row r="31" spans="1:26" x14ac:dyDescent="0.45">
      <c r="A31" s="14"/>
      <c r="B31" s="14"/>
      <c r="C31" s="14"/>
      <c r="D31" s="3"/>
      <c r="E31" s="3"/>
      <c r="F31" s="14"/>
      <c r="G31" s="14"/>
      <c r="H31" s="14"/>
      <c r="I31" s="3"/>
    </row>
    <row r="32" spans="1:26" ht="14.65" thickBot="1" x14ac:dyDescent="0.5">
      <c r="A32" s="13"/>
      <c r="B32" s="13"/>
      <c r="C32" s="13"/>
      <c r="D32" s="3"/>
      <c r="E32" s="3"/>
      <c r="F32" s="13"/>
      <c r="G32" s="13"/>
      <c r="H32" s="13"/>
      <c r="I32" s="3"/>
    </row>
    <row r="33" spans="1:9" ht="14.65" thickBot="1" x14ac:dyDescent="0.5">
      <c r="A33" s="13"/>
      <c r="B33" s="13"/>
      <c r="C33" s="13"/>
      <c r="D33" s="6" t="str">
        <f>IF(ISERROR(AVERAGE(ECGLCS1)),"",MROUND(AVERAGE(ECGLCS1),0.5))</f>
        <v/>
      </c>
      <c r="E33" s="3"/>
      <c r="F33" s="13"/>
      <c r="G33" s="13"/>
      <c r="H33" s="13"/>
      <c r="I33" s="6" t="str">
        <f>IF(ISERROR(AVERAGE(ECGLCS2)),"",MROUND(AVERAGE(ECGLCS2),0.5))</f>
        <v/>
      </c>
    </row>
    <row r="34" spans="1:9" x14ac:dyDescent="0.45">
      <c r="A34" s="2" t="s">
        <v>9</v>
      </c>
      <c r="B34" s="2"/>
      <c r="C34" s="2"/>
      <c r="D34" s="2"/>
      <c r="E34" s="2"/>
      <c r="F34" s="2" t="s">
        <v>9</v>
      </c>
      <c r="G34" s="2"/>
      <c r="H34" s="2"/>
      <c r="I34" s="2"/>
    </row>
    <row r="35" spans="1:9" x14ac:dyDescent="0.45">
      <c r="A35" s="14"/>
      <c r="B35" s="14"/>
      <c r="C35" s="14"/>
      <c r="D35" s="3"/>
      <c r="E35" s="3"/>
      <c r="F35" s="14"/>
      <c r="G35" s="14"/>
      <c r="H35" s="14"/>
      <c r="I35" s="3"/>
    </row>
    <row r="36" spans="1:9" ht="14.65" thickBot="1" x14ac:dyDescent="0.5">
      <c r="A36" s="13"/>
      <c r="B36" s="13"/>
      <c r="C36" s="13"/>
      <c r="D36" s="3"/>
      <c r="E36" s="3"/>
      <c r="F36" s="13"/>
      <c r="G36" s="13"/>
      <c r="H36" s="13"/>
      <c r="I36" s="3"/>
    </row>
    <row r="37" spans="1:9" ht="14.65" thickBot="1" x14ac:dyDescent="0.5">
      <c r="A37" s="13"/>
      <c r="B37" s="13"/>
      <c r="C37" s="13"/>
      <c r="D37" s="6" t="str">
        <f>IF(ISERROR(AVERAGE(ECGSOS1)),"",MROUND(AVERAGE(ECGSOS1),0.5))</f>
        <v/>
      </c>
      <c r="E37" s="3"/>
      <c r="F37" s="13"/>
      <c r="G37" s="13"/>
      <c r="H37" s="13"/>
      <c r="I37" s="6" t="str">
        <f>IF(ISERROR(AVERAGE(ECGSOS2)),"",MROUND(AVERAGE(ECGSOS2),0.5))</f>
        <v/>
      </c>
    </row>
    <row r="38" spans="1:9" ht="14.65" thickBot="1" x14ac:dyDescent="0.5">
      <c r="A38" s="2"/>
      <c r="B38" s="2"/>
      <c r="C38" s="2"/>
      <c r="D38" s="2"/>
      <c r="E38" s="2"/>
      <c r="F38" s="2"/>
      <c r="G38" s="2"/>
      <c r="H38" s="2"/>
      <c r="I38" s="2"/>
    </row>
    <row r="39" spans="1:9" ht="15" thickTop="1" thickBot="1" x14ac:dyDescent="0.5">
      <c r="A39" s="2" t="s">
        <v>10</v>
      </c>
      <c r="B39" s="2"/>
      <c r="C39" s="2"/>
      <c r="D39" s="7" t="str">
        <f>IF(ISERROR(AVERAGE(ECGLCS1MOY,ECGSOS1MOY)),"",MROUND(AVERAGE(ECGLCS1MOY,ECGSOS1MOY),0.5))</f>
        <v/>
      </c>
      <c r="E39" s="2"/>
      <c r="F39" s="2" t="s">
        <v>10</v>
      </c>
      <c r="G39" s="2"/>
      <c r="H39" s="2"/>
      <c r="I39" s="7" t="str">
        <f>IF(ISERROR(AVERAGE(ECGLCS2MOY,ECGSOS2MOY)),"",MROUND(AVERAGE(ECGLCS2MOY,ECGSOS2MOY),0.5))</f>
        <v/>
      </c>
    </row>
    <row r="40" spans="1:9" ht="14.65" thickTop="1" x14ac:dyDescent="0.45"/>
    <row r="42" spans="1:9" x14ac:dyDescent="0.45">
      <c r="A42" s="2" t="s">
        <v>11</v>
      </c>
    </row>
    <row r="43" spans="1:9" x14ac:dyDescent="0.45">
      <c r="A43" s="2" t="s">
        <v>12</v>
      </c>
    </row>
    <row r="72" spans="26:26" x14ac:dyDescent="0.45">
      <c r="Z72" s="15">
        <v>6</v>
      </c>
    </row>
    <row r="73" spans="26:26" x14ac:dyDescent="0.45">
      <c r="Z73" s="15">
        <v>5.5</v>
      </c>
    </row>
    <row r="74" spans="26:26" x14ac:dyDescent="0.45">
      <c r="Z74" s="15">
        <v>5</v>
      </c>
    </row>
    <row r="75" spans="26:26" x14ac:dyDescent="0.45">
      <c r="Z75" s="15">
        <v>4.5</v>
      </c>
    </row>
    <row r="76" spans="26:26" x14ac:dyDescent="0.45">
      <c r="Z76" s="15">
        <v>4</v>
      </c>
    </row>
    <row r="77" spans="26:26" x14ac:dyDescent="0.45">
      <c r="Z77" s="15">
        <v>3.5</v>
      </c>
    </row>
    <row r="78" spans="26:26" x14ac:dyDescent="0.45">
      <c r="Z78" s="15">
        <v>3</v>
      </c>
    </row>
    <row r="79" spans="26:26" x14ac:dyDescent="0.45">
      <c r="Z79" s="15">
        <v>2.5</v>
      </c>
    </row>
    <row r="80" spans="26:26" x14ac:dyDescent="0.45">
      <c r="Z80" s="15">
        <v>2</v>
      </c>
    </row>
    <row r="81" spans="26:26" x14ac:dyDescent="0.45">
      <c r="Z81" s="15">
        <v>1.5</v>
      </c>
    </row>
    <row r="82" spans="26:26" x14ac:dyDescent="0.45">
      <c r="Z82" s="15">
        <v>1</v>
      </c>
    </row>
  </sheetData>
  <sheetProtection sheet="1" selectLockedCells="1"/>
  <mergeCells count="9">
    <mergeCell ref="A1:I1"/>
    <mergeCell ref="A5:I5"/>
    <mergeCell ref="A7:C7"/>
    <mergeCell ref="F7:H7"/>
    <mergeCell ref="A29:I29"/>
    <mergeCell ref="D10:D16"/>
    <mergeCell ref="I10:I16"/>
    <mergeCell ref="D20:D23"/>
    <mergeCell ref="I20:I23"/>
  </mergeCells>
  <conditionalFormatting sqref="A11:B11">
    <cfRule type="containsBlanks" dxfId="76" priority="12">
      <formula>LEN(TRIM(A11))=0</formula>
    </cfRule>
  </conditionalFormatting>
  <conditionalFormatting sqref="A12:C12 F12:H12 D27 D33 I33 D37 I37 D39 I39 I27">
    <cfRule type="cellIs" dxfId="75" priority="58" operator="lessThan">
      <formula>4</formula>
    </cfRule>
  </conditionalFormatting>
  <conditionalFormatting sqref="C10">
    <cfRule type="containsBlanks" dxfId="74" priority="53">
      <formula>LEN(TRIM(C10))=0</formula>
    </cfRule>
  </conditionalFormatting>
  <conditionalFormatting sqref="C10:C11 A12:C12 A15:C16 F15:H16 A22:C23 F22:H23 A32:C33 F32:H33 A36:C37 F36:H37">
    <cfRule type="containsBlanks" dxfId="73" priority="55">
      <formula>LEN(TRIM(A10))=0</formula>
    </cfRule>
  </conditionalFormatting>
  <conditionalFormatting sqref="C14">
    <cfRule type="containsBlanks" dxfId="72" priority="6">
      <formula>LEN(TRIM(C14))=0</formula>
    </cfRule>
    <cfRule type="containsBlanks" dxfId="71" priority="19">
      <formula>LEN(TRIM(C14))=0</formula>
    </cfRule>
    <cfRule type="containsBlanks" dxfId="70" priority="20">
      <formula>LEN(TRIM(C14))=0</formula>
    </cfRule>
    <cfRule type="containsBlanks" dxfId="69" priority="21">
      <formula>LEN(TRIM(C14))=0</formula>
    </cfRule>
    <cfRule type="containsBlanks" dxfId="68" priority="22">
      <formula>LEN(TRIM(C14))=0</formula>
    </cfRule>
  </conditionalFormatting>
  <conditionalFormatting sqref="F10:G10 A14:C14 F14:H14 A10:B11 A21:C21 F21:H21 A31:C31 F31:H31 A35:C35 F35:H35">
    <cfRule type="containsBlanks" dxfId="67" priority="56">
      <formula>LEN(TRIM(A10))=0</formula>
    </cfRule>
  </conditionalFormatting>
  <conditionalFormatting sqref="F10:H10 A10:C11 A14:C16 F14:H16 A21:C23 F21:H23 A31:C33 F31:H33 A35:C37 F35:H37">
    <cfRule type="cellIs" dxfId="66" priority="57" operator="lessThan">
      <formula>4</formula>
    </cfRule>
  </conditionalFormatting>
  <conditionalFormatting sqref="F10:H10">
    <cfRule type="containsBlanks" dxfId="65" priority="43">
      <formula>LEN(TRIM(F10))=0</formula>
    </cfRule>
    <cfRule type="containsBlanks" dxfId="64" priority="49">
      <formula>LEN(TRIM(F10))=0</formula>
    </cfRule>
  </conditionalFormatting>
  <conditionalFormatting sqref="F11:H11">
    <cfRule type="cellIs" dxfId="63" priority="9" operator="lessThan">
      <formula>4</formula>
    </cfRule>
  </conditionalFormatting>
  <conditionalFormatting sqref="F11:H12">
    <cfRule type="containsBlanks" dxfId="62" priority="8">
      <formula>LEN(TRIM(F11))=0</formula>
    </cfRule>
  </conditionalFormatting>
  <conditionalFormatting sqref="H14">
    <cfRule type="containsBlanks" dxfId="61" priority="5">
      <formula>LEN(TRIM(H14))=0</formula>
    </cfRule>
    <cfRule type="containsBlanks" dxfId="60" priority="17">
      <formula>LEN(TRIM(H14))=0</formula>
    </cfRule>
    <cfRule type="containsBlanks" dxfId="59" priority="18">
      <formula>LEN(TRIM(H14))=0</formula>
    </cfRule>
  </conditionalFormatting>
  <conditionalFormatting sqref="H3514">
    <cfRule type="cellIs" dxfId="58" priority="59" operator="lessThan">
      <formula>4</formula>
    </cfRule>
  </conditionalFormatting>
  <conditionalFormatting sqref="D18">
    <cfRule type="cellIs" dxfId="57" priority="4" operator="lessThan">
      <formula>4</formula>
    </cfRule>
  </conditionalFormatting>
  <conditionalFormatting sqref="I18">
    <cfRule type="cellIs" dxfId="56" priority="3" operator="lessThan">
      <formula>4</formula>
    </cfRule>
  </conditionalFormatting>
  <conditionalFormatting sqref="D25">
    <cfRule type="cellIs" dxfId="55" priority="2" operator="lessThan">
      <formula>4</formula>
    </cfRule>
  </conditionalFormatting>
  <conditionalFormatting sqref="I25">
    <cfRule type="cellIs" dxfId="54" priority="1" operator="lessThan">
      <formula>4</formula>
    </cfRule>
  </conditionalFormatting>
  <dataValidations count="1">
    <dataValidation type="list" allowBlank="1" showErrorMessage="1" errorTitle="ERREUR" error="Valeur des notes uniquement entre 1 et 6 par saut de 0.5." sqref="F10:H12 F21:H23 A35:C37 F31:H33 A31:C33 A14:C16 A21:C23 F35:H37 A10:C12 F14:H16" xr:uid="{7D1F0D9D-9015-4AB2-89BE-941B753C28BC}">
      <formula1>$Z$72:$Z$82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BEC-4892-4CED-8175-6C4B918B2990}">
  <dimension ref="A1:Z82"/>
  <sheetViews>
    <sheetView showGridLines="0" zoomScaleNormal="100" workbookViewId="0">
      <selection activeCell="D3" sqref="D3"/>
    </sheetView>
  </sheetViews>
  <sheetFormatPr baseColWidth="10" defaultColWidth="11.46484375" defaultRowHeight="14.25" x14ac:dyDescent="0.45"/>
  <cols>
    <col min="1" max="9" width="8.6640625" customWidth="1"/>
    <col min="26" max="26" width="11.53125" style="15"/>
  </cols>
  <sheetData>
    <row r="1" spans="1:9" ht="45" customHeight="1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9" s="5" customFormat="1" ht="25.2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9" ht="30" customHeight="1" x14ac:dyDescent="0.45">
      <c r="A5" s="18" t="s">
        <v>2</v>
      </c>
      <c r="B5" s="18"/>
      <c r="C5" s="18"/>
      <c r="D5" s="18"/>
      <c r="E5" s="18"/>
      <c r="F5" s="18"/>
      <c r="G5" s="18"/>
      <c r="H5" s="18"/>
      <c r="I5" s="18"/>
    </row>
    <row r="7" spans="1:9" x14ac:dyDescent="0.45">
      <c r="A7" s="19" t="s">
        <v>13</v>
      </c>
      <c r="B7" s="19"/>
      <c r="C7" s="19"/>
      <c r="D7" s="8" t="s">
        <v>4</v>
      </c>
      <c r="E7" s="9"/>
      <c r="F7" s="19" t="s">
        <v>14</v>
      </c>
      <c r="G7" s="19"/>
      <c r="H7" s="19"/>
      <c r="I7" s="8" t="s">
        <v>4</v>
      </c>
    </row>
    <row r="9" spans="1:9" x14ac:dyDescent="0.45">
      <c r="A9" s="2" t="s">
        <v>25</v>
      </c>
      <c r="B9" s="2"/>
      <c r="C9" s="2"/>
      <c r="D9" s="2"/>
      <c r="E9" s="2"/>
      <c r="F9" s="2" t="s">
        <v>25</v>
      </c>
      <c r="G9" s="2"/>
      <c r="H9" s="2"/>
      <c r="I9" s="2"/>
    </row>
    <row r="10" spans="1:9" x14ac:dyDescent="0.45">
      <c r="A10" s="14"/>
      <c r="B10" s="14"/>
      <c r="C10" s="14"/>
      <c r="D10" s="23" t="s">
        <v>21</v>
      </c>
      <c r="E10" s="3"/>
      <c r="F10" s="14"/>
      <c r="G10" s="14"/>
      <c r="H10" s="14"/>
      <c r="I10" s="23" t="s">
        <v>21</v>
      </c>
    </row>
    <row r="11" spans="1:9" x14ac:dyDescent="0.45">
      <c r="A11" s="13"/>
      <c r="B11" s="13"/>
      <c r="C11" s="13"/>
      <c r="D11" s="23"/>
      <c r="E11" s="3"/>
      <c r="F11" s="13"/>
      <c r="G11" s="13"/>
      <c r="H11" s="13"/>
      <c r="I11" s="23"/>
    </row>
    <row r="12" spans="1:9" x14ac:dyDescent="0.45">
      <c r="A12" s="13"/>
      <c r="B12" s="13"/>
      <c r="C12" s="13"/>
      <c r="D12" s="23"/>
      <c r="E12" s="3"/>
      <c r="F12" s="13"/>
      <c r="G12" s="13"/>
      <c r="H12" s="13"/>
      <c r="I12" s="23"/>
    </row>
    <row r="13" spans="1:9" x14ac:dyDescent="0.45">
      <c r="A13" s="2" t="s">
        <v>26</v>
      </c>
      <c r="D13" s="23"/>
      <c r="E13" s="2"/>
      <c r="F13" s="2" t="s">
        <v>26</v>
      </c>
      <c r="I13" s="23"/>
    </row>
    <row r="14" spans="1:9" x14ac:dyDescent="0.45">
      <c r="A14" s="14"/>
      <c r="B14" s="14"/>
      <c r="C14" s="13"/>
      <c r="D14" s="23"/>
      <c r="E14" s="3"/>
      <c r="F14" s="14"/>
      <c r="G14" s="14"/>
      <c r="H14" s="13"/>
      <c r="I14" s="23"/>
    </row>
    <row r="15" spans="1:9" x14ac:dyDescent="0.45">
      <c r="A15" s="14"/>
      <c r="B15" s="13"/>
      <c r="C15" s="13"/>
      <c r="D15" s="23"/>
      <c r="E15" s="3"/>
      <c r="F15" s="14"/>
      <c r="G15" s="14"/>
      <c r="H15" s="13"/>
      <c r="I15" s="23"/>
    </row>
    <row r="16" spans="1:9" x14ac:dyDescent="0.45">
      <c r="A16" s="13"/>
      <c r="B16" s="13"/>
      <c r="C16" s="13"/>
      <c r="D16" s="23"/>
      <c r="E16" s="3"/>
      <c r="F16" s="13"/>
      <c r="G16" s="13"/>
      <c r="H16" s="13"/>
      <c r="I16" s="23"/>
    </row>
    <row r="17" spans="1:26" ht="15" customHeight="1" thickBot="1" x14ac:dyDescent="0.7">
      <c r="Z17" s="16"/>
    </row>
    <row r="18" spans="1:26" ht="15" customHeight="1" thickBot="1" x14ac:dyDescent="0.7">
      <c r="A18" s="2" t="s">
        <v>35</v>
      </c>
      <c r="D18" s="6" t="str">
        <f>IF(ISERROR(AVERAGE(DCOABCS3)),"",MROUND(AVERAGE(DCOABCS3),0.5))</f>
        <v/>
      </c>
      <c r="F18" s="2" t="s">
        <v>36</v>
      </c>
      <c r="I18" s="6" t="str">
        <f>IF(ISERROR(AVERAGE(DCOABCS4)),"",MROUND(AVERAGE(DCOABCS4),0.5))</f>
        <v/>
      </c>
      <c r="Z18" s="16"/>
    </row>
    <row r="19" spans="1:26" ht="15" customHeight="1" x14ac:dyDescent="0.65">
      <c r="Z19" s="16"/>
    </row>
    <row r="20" spans="1:26" x14ac:dyDescent="0.45">
      <c r="A20" s="2" t="s">
        <v>27</v>
      </c>
      <c r="D20" s="23" t="s">
        <v>23</v>
      </c>
      <c r="E20" s="2"/>
      <c r="F20" s="2" t="s">
        <v>27</v>
      </c>
      <c r="I20" s="23" t="s">
        <v>23</v>
      </c>
    </row>
    <row r="21" spans="1:26" x14ac:dyDescent="0.45">
      <c r="A21" s="14"/>
      <c r="B21" s="14"/>
      <c r="C21" s="14"/>
      <c r="D21" s="23"/>
      <c r="E21" s="3"/>
      <c r="F21" s="14"/>
      <c r="G21" s="14"/>
      <c r="H21" s="14"/>
      <c r="I21" s="23"/>
    </row>
    <row r="22" spans="1:26" x14ac:dyDescent="0.45">
      <c r="A22" s="13"/>
      <c r="B22" s="13"/>
      <c r="C22" s="13"/>
      <c r="D22" s="23"/>
      <c r="E22" s="3"/>
      <c r="F22" s="13"/>
      <c r="G22" s="13"/>
      <c r="H22" s="13"/>
      <c r="I22" s="23"/>
    </row>
    <row r="23" spans="1:26" ht="15" customHeight="1" x14ac:dyDescent="0.65">
      <c r="A23" s="13"/>
      <c r="B23" s="13"/>
      <c r="C23" s="13"/>
      <c r="D23" s="23"/>
      <c r="E23" s="3"/>
      <c r="F23" s="13"/>
      <c r="G23" s="13"/>
      <c r="H23" s="13"/>
      <c r="I23" s="23"/>
      <c r="Z23" s="16"/>
    </row>
    <row r="24" spans="1:26" ht="15" customHeight="1" thickBot="1" x14ac:dyDescent="0.7">
      <c r="Z24" s="16"/>
    </row>
    <row r="25" spans="1:26" ht="15" customHeight="1" thickBot="1" x14ac:dyDescent="0.7">
      <c r="A25" s="2" t="s">
        <v>37</v>
      </c>
      <c r="D25" s="6" t="str">
        <f>IF(ISERROR(AVERAGE(DCODS3)),"",MROUND(AVERAGE(DCODS3),0.5))</f>
        <v/>
      </c>
      <c r="F25" s="2" t="s">
        <v>38</v>
      </c>
      <c r="I25" s="6" t="str">
        <f>IF(ISERROR(AVERAGE(DCODS4)),"",MROUND(AVERAGE(DCODS4),0.5))</f>
        <v/>
      </c>
      <c r="Z25" s="16"/>
    </row>
    <row r="26" spans="1:26" ht="15" customHeight="1" thickBot="1" x14ac:dyDescent="0.7">
      <c r="Z26" s="16"/>
    </row>
    <row r="27" spans="1:26" ht="15" thickTop="1" thickBot="1" x14ac:dyDescent="0.5">
      <c r="A27" s="2" t="s">
        <v>6</v>
      </c>
      <c r="B27" s="2"/>
      <c r="C27" s="2"/>
      <c r="D27" s="7" t="str">
        <f>IF(ISERROR(AVERAGE(DCOABCS3MOY,DCODS3MOY)),"",MROUND(AVERAGE(DCOABCS3MOY,DCODS3MOY),0.5))</f>
        <v/>
      </c>
      <c r="E27" s="2"/>
      <c r="F27" s="2" t="s">
        <v>6</v>
      </c>
      <c r="G27" s="2"/>
      <c r="H27" s="2"/>
      <c r="I27" s="7" t="str">
        <f>IF(ISERROR(AVERAGE(DCOABCS4MOY,DCODS4MOY)),"",MROUND(AVERAGE(DCOABCS4MOY,DCODS4MOY),0.5))</f>
        <v/>
      </c>
    </row>
    <row r="28" spans="1:26" ht="14.65" thickTop="1" x14ac:dyDescent="0.45"/>
    <row r="29" spans="1:26" s="1" customFormat="1" ht="30" customHeight="1" x14ac:dyDescent="0.65">
      <c r="A29" s="18" t="s">
        <v>7</v>
      </c>
      <c r="B29" s="18"/>
      <c r="C29" s="18"/>
      <c r="D29" s="18"/>
      <c r="E29" s="18"/>
      <c r="F29" s="18"/>
      <c r="G29" s="18"/>
      <c r="H29" s="18"/>
      <c r="I29" s="18"/>
      <c r="Z29" s="15"/>
    </row>
    <row r="30" spans="1:26" x14ac:dyDescent="0.45">
      <c r="A30" s="2" t="s">
        <v>8</v>
      </c>
      <c r="B30" s="2"/>
      <c r="C30" s="2"/>
      <c r="D30" s="2"/>
      <c r="E30" s="2"/>
      <c r="F30" s="2" t="s">
        <v>8</v>
      </c>
      <c r="G30" s="2"/>
      <c r="H30" s="2"/>
      <c r="I30" s="2"/>
    </row>
    <row r="31" spans="1:26" x14ac:dyDescent="0.45">
      <c r="A31" s="14"/>
      <c r="B31" s="14"/>
      <c r="C31" s="14"/>
      <c r="D31" s="3"/>
      <c r="E31" s="3"/>
      <c r="F31" s="14"/>
      <c r="G31" s="14"/>
      <c r="H31" s="14"/>
      <c r="I31" s="3"/>
    </row>
    <row r="32" spans="1:26" ht="14.65" thickBot="1" x14ac:dyDescent="0.5">
      <c r="A32" s="13"/>
      <c r="B32" s="13"/>
      <c r="C32" s="13"/>
      <c r="D32" s="3"/>
      <c r="E32" s="3"/>
      <c r="F32" s="13"/>
      <c r="G32" s="13"/>
      <c r="H32" s="13"/>
      <c r="I32" s="3"/>
    </row>
    <row r="33" spans="1:9" ht="14.65" thickBot="1" x14ac:dyDescent="0.5">
      <c r="A33" s="13"/>
      <c r="B33" s="13"/>
      <c r="C33" s="13"/>
      <c r="D33" s="6" t="str">
        <f>IF(ISERROR(AVERAGE(ECGLCS3)),"",MROUND(AVERAGE(ECGLCS3),0.5))</f>
        <v/>
      </c>
      <c r="E33" s="3"/>
      <c r="F33" s="13"/>
      <c r="G33" s="13"/>
      <c r="H33" s="13"/>
      <c r="I33" s="6" t="str">
        <f>IF(ISERROR(AVERAGE(ECGLCS4)),"",MROUND(AVERAGE(ECGLCS4),0.5))</f>
        <v/>
      </c>
    </row>
    <row r="34" spans="1:9" x14ac:dyDescent="0.45">
      <c r="A34" s="2" t="s">
        <v>9</v>
      </c>
      <c r="B34" s="2"/>
      <c r="C34" s="2"/>
      <c r="D34" s="2"/>
      <c r="E34" s="2"/>
      <c r="F34" s="2" t="s">
        <v>9</v>
      </c>
      <c r="G34" s="2"/>
      <c r="H34" s="2"/>
      <c r="I34" s="2"/>
    </row>
    <row r="35" spans="1:9" x14ac:dyDescent="0.45">
      <c r="A35" s="14"/>
      <c r="B35" s="14"/>
      <c r="C35" s="14"/>
      <c r="D35" s="3"/>
      <c r="E35" s="3"/>
      <c r="F35" s="14"/>
      <c r="G35" s="14"/>
      <c r="H35" s="14"/>
      <c r="I35" s="3"/>
    </row>
    <row r="36" spans="1:9" ht="14.65" thickBot="1" x14ac:dyDescent="0.5">
      <c r="A36" s="13"/>
      <c r="B36" s="13"/>
      <c r="C36" s="13"/>
      <c r="D36" s="3"/>
      <c r="E36" s="3"/>
      <c r="F36" s="13"/>
      <c r="G36" s="13"/>
      <c r="H36" s="13"/>
      <c r="I36" s="3"/>
    </row>
    <row r="37" spans="1:9" ht="14.65" thickBot="1" x14ac:dyDescent="0.5">
      <c r="A37" s="13"/>
      <c r="B37" s="13"/>
      <c r="C37" s="13"/>
      <c r="D37" s="6" t="str">
        <f>IF(ISERROR(AVERAGE(ECGSOS3)),"",MROUND(AVERAGE(ECGSOS3),0.5))</f>
        <v/>
      </c>
      <c r="E37" s="3"/>
      <c r="F37" s="13"/>
      <c r="G37" s="13"/>
      <c r="H37" s="13"/>
      <c r="I37" s="6" t="str">
        <f>IF(ISERROR(AVERAGE(ECGSOS4)),"",MROUND(AVERAGE(ECGSOS4),0.5))</f>
        <v/>
      </c>
    </row>
    <row r="38" spans="1:9" ht="14.65" thickBot="1" x14ac:dyDescent="0.5">
      <c r="A38" s="2"/>
      <c r="B38" s="2"/>
      <c r="C38" s="2"/>
      <c r="D38" s="2"/>
      <c r="E38" s="2"/>
      <c r="F38" s="2"/>
      <c r="G38" s="2"/>
      <c r="H38" s="2"/>
      <c r="I38" s="2"/>
    </row>
    <row r="39" spans="1:9" ht="15" thickTop="1" thickBot="1" x14ac:dyDescent="0.5">
      <c r="A39" s="2" t="s">
        <v>10</v>
      </c>
      <c r="B39" s="2"/>
      <c r="C39" s="2"/>
      <c r="D39" s="7" t="str">
        <f>IF(ISERROR(AVERAGE(ECGLCS3MOY,ECGSOS3MOY)),"",MROUND(AVERAGE(ECGLCS3MOY,ECGSOS3MOY),0.5))</f>
        <v/>
      </c>
      <c r="E39" s="2"/>
      <c r="F39" s="2" t="s">
        <v>10</v>
      </c>
      <c r="G39" s="2"/>
      <c r="H39" s="2"/>
      <c r="I39" s="7" t="str">
        <f>IF(ISERROR(AVERAGE(ECGLCS4MOY,ECGSOS4MOY)),"",MROUND(AVERAGE(ECGLCS4MOY,ECGSOS4MOY),0.5))</f>
        <v/>
      </c>
    </row>
    <row r="40" spans="1:9" ht="14.65" thickTop="1" x14ac:dyDescent="0.45"/>
    <row r="42" spans="1:9" x14ac:dyDescent="0.45">
      <c r="A42" s="2" t="s">
        <v>11</v>
      </c>
    </row>
    <row r="43" spans="1:9" x14ac:dyDescent="0.45">
      <c r="A43" s="2" t="s">
        <v>12</v>
      </c>
    </row>
    <row r="72" spans="26:26" x14ac:dyDescent="0.45">
      <c r="Z72" s="15">
        <v>6</v>
      </c>
    </row>
    <row r="73" spans="26:26" x14ac:dyDescent="0.45">
      <c r="Z73" s="15">
        <v>5.5</v>
      </c>
    </row>
    <row r="74" spans="26:26" x14ac:dyDescent="0.45">
      <c r="Z74" s="15">
        <v>5</v>
      </c>
    </row>
    <row r="75" spans="26:26" x14ac:dyDescent="0.45">
      <c r="Z75" s="15">
        <v>4.5</v>
      </c>
    </row>
    <row r="76" spans="26:26" x14ac:dyDescent="0.45">
      <c r="Z76" s="15">
        <v>4</v>
      </c>
    </row>
    <row r="77" spans="26:26" x14ac:dyDescent="0.45">
      <c r="Z77" s="15">
        <v>3.5</v>
      </c>
    </row>
    <row r="78" spans="26:26" x14ac:dyDescent="0.45">
      <c r="Z78" s="15">
        <v>3</v>
      </c>
    </row>
    <row r="79" spans="26:26" x14ac:dyDescent="0.45">
      <c r="Z79" s="15">
        <v>2.5</v>
      </c>
    </row>
    <row r="80" spans="26:26" x14ac:dyDescent="0.45">
      <c r="Z80" s="15">
        <v>2</v>
      </c>
    </row>
    <row r="81" spans="26:26" x14ac:dyDescent="0.45">
      <c r="Z81" s="15">
        <v>1.5</v>
      </c>
    </row>
    <row r="82" spans="26:26" x14ac:dyDescent="0.45">
      <c r="Z82" s="15">
        <v>1</v>
      </c>
    </row>
  </sheetData>
  <sheetProtection sheet="1" selectLockedCells="1"/>
  <mergeCells count="9">
    <mergeCell ref="A1:I1"/>
    <mergeCell ref="A5:I5"/>
    <mergeCell ref="A7:C7"/>
    <mergeCell ref="F7:H7"/>
    <mergeCell ref="A29:I29"/>
    <mergeCell ref="D10:D16"/>
    <mergeCell ref="I10:I16"/>
    <mergeCell ref="D20:D23"/>
    <mergeCell ref="I20:I23"/>
  </mergeCells>
  <conditionalFormatting sqref="A11:B11 F11:G11">
    <cfRule type="containsBlanks" dxfId="53" priority="15">
      <formula>LEN(TRIM(A11))=0</formula>
    </cfRule>
  </conditionalFormatting>
  <conditionalFormatting sqref="A14:B14">
    <cfRule type="containsBlanks" dxfId="52" priority="23">
      <formula>LEN(TRIM(A14))=0</formula>
    </cfRule>
  </conditionalFormatting>
  <conditionalFormatting sqref="A10:C10 F10:H10">
    <cfRule type="containsBlanks" dxfId="51" priority="21">
      <formula>LEN(TRIM(A10))=0</formula>
    </cfRule>
  </conditionalFormatting>
  <conditionalFormatting sqref="A21:C21 F21:H21">
    <cfRule type="containsBlanks" dxfId="50" priority="18">
      <formula>LEN(TRIM(A21))=0</formula>
    </cfRule>
  </conditionalFormatting>
  <conditionalFormatting sqref="A21:C23 F21:H23">
    <cfRule type="cellIs" dxfId="49" priority="19" operator="lessThan">
      <formula>4</formula>
    </cfRule>
  </conditionalFormatting>
  <conditionalFormatting sqref="A22:C23 F22:H23">
    <cfRule type="containsBlanks" dxfId="48" priority="17">
      <formula>LEN(TRIM(A22))=0</formula>
    </cfRule>
  </conditionalFormatting>
  <conditionalFormatting sqref="A12:C12 F12:H12 D27 D33 I33 D37 I37 D39 I39 I27">
    <cfRule type="cellIs" dxfId="47" priority="81" operator="lessThan">
      <formula>4</formula>
    </cfRule>
  </conditionalFormatting>
  <conditionalFormatting sqref="C10:C11 H10:H11 A12:C12 F12:H12 A15:C16 F15:H16 A32:C33 F32:H33 A36:C37 F36:H37">
    <cfRule type="containsBlanks" dxfId="46" priority="78">
      <formula>LEN(TRIM(A10))=0</formula>
    </cfRule>
  </conditionalFormatting>
  <conditionalFormatting sqref="C14">
    <cfRule type="containsBlanks" dxfId="45" priority="28">
      <formula>LEN(TRIM(C14))=0</formula>
    </cfRule>
  </conditionalFormatting>
  <conditionalFormatting sqref="F10:G10 A31:C31 F31:H31 A35:C35 F35:H35">
    <cfRule type="containsBlanks" dxfId="43" priority="79">
      <formula>LEN(TRIM(A10))=0</formula>
    </cfRule>
  </conditionalFormatting>
  <conditionalFormatting sqref="F10:G10">
    <cfRule type="containsBlanks" dxfId="42" priority="72">
      <formula>LEN(TRIM(F10))=0</formula>
    </cfRule>
  </conditionalFormatting>
  <conditionalFormatting sqref="F10:H10 A31:C33 F31:H33 A35:C37 F35:H37 A10:C10 C11 H11 A14:C16 F14:H16">
    <cfRule type="cellIs" dxfId="41" priority="80" operator="lessThan">
      <formula>4</formula>
    </cfRule>
  </conditionalFormatting>
  <conditionalFormatting sqref="F14:H14">
    <cfRule type="containsBlanks" dxfId="40" priority="13">
      <formula>LEN(TRIM(F14))=0</formula>
    </cfRule>
  </conditionalFormatting>
  <conditionalFormatting sqref="H14">
    <cfRule type="containsBlanks" dxfId="39" priority="10">
      <formula>LEN(TRIM(H14))=0</formula>
    </cfRule>
  </conditionalFormatting>
  <conditionalFormatting sqref="H3514">
    <cfRule type="cellIs" dxfId="38" priority="82" operator="lessThan">
      <formula>4</formula>
    </cfRule>
  </conditionalFormatting>
  <conditionalFormatting sqref="D18">
    <cfRule type="cellIs" dxfId="35" priority="7" operator="lessThan">
      <formula>4</formula>
    </cfRule>
  </conditionalFormatting>
  <conditionalFormatting sqref="I18">
    <cfRule type="cellIs" dxfId="31" priority="3" operator="lessThan">
      <formula>4</formula>
    </cfRule>
  </conditionalFormatting>
  <conditionalFormatting sqref="D25">
    <cfRule type="cellIs" dxfId="30" priority="2" operator="lessThan">
      <formula>4</formula>
    </cfRule>
  </conditionalFormatting>
  <conditionalFormatting sqref="I25">
    <cfRule type="cellIs" dxfId="29" priority="1" operator="lessThan">
      <formula>4</formula>
    </cfRule>
  </conditionalFormatting>
  <dataValidations count="1">
    <dataValidation type="list" allowBlank="1" showErrorMessage="1" errorTitle="ERREUR" error="Valeur des notes uniquement entre 1 et 6 par saut de 0.5." sqref="F31:H33 F21:H23 F35:H37 F14:H16 A10:C12 A31:C33 F10:H12 A21:C23 A35:C37 A14:C16" xr:uid="{8138182A-CF6F-46C2-B3C2-FEBDE01ED0D5}">
      <formula1>$Z$72:$Z$82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EF9E-BB91-469C-9B58-4B3F8604E363}">
  <dimension ref="A1:Z82"/>
  <sheetViews>
    <sheetView showGridLines="0" zoomScaleNormal="100" workbookViewId="0">
      <selection activeCell="D3" sqref="D3"/>
    </sheetView>
  </sheetViews>
  <sheetFormatPr baseColWidth="10" defaultColWidth="11.46484375" defaultRowHeight="14.25" x14ac:dyDescent="0.45"/>
  <cols>
    <col min="1" max="9" width="8.6640625" customWidth="1"/>
    <col min="26" max="26" width="11.46484375" style="15"/>
  </cols>
  <sheetData>
    <row r="1" spans="1:9" ht="45" customHeight="1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9" s="5" customFormat="1" ht="25.2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9" ht="30" customHeight="1" x14ac:dyDescent="0.45">
      <c r="A5" s="18" t="s">
        <v>2</v>
      </c>
      <c r="B5" s="18"/>
      <c r="C5" s="18"/>
      <c r="D5" s="18"/>
      <c r="E5" s="18"/>
      <c r="F5" s="18"/>
      <c r="G5" s="18"/>
      <c r="H5" s="18"/>
      <c r="I5" s="18"/>
    </row>
    <row r="7" spans="1:9" x14ac:dyDescent="0.45">
      <c r="A7" s="19" t="s">
        <v>15</v>
      </c>
      <c r="B7" s="19"/>
      <c r="C7" s="19"/>
      <c r="D7" s="8" t="s">
        <v>4</v>
      </c>
      <c r="E7" s="9"/>
      <c r="F7" s="19" t="s">
        <v>16</v>
      </c>
      <c r="G7" s="19"/>
      <c r="H7" s="19"/>
      <c r="I7" s="8" t="s">
        <v>4</v>
      </c>
    </row>
    <row r="9" spans="1:9" x14ac:dyDescent="0.45">
      <c r="A9" s="2" t="s">
        <v>28</v>
      </c>
      <c r="B9" s="2"/>
      <c r="C9" s="2"/>
      <c r="D9" s="2"/>
      <c r="E9" s="2"/>
      <c r="F9" s="2" t="s">
        <v>28</v>
      </c>
      <c r="G9" s="2"/>
      <c r="H9" s="2"/>
      <c r="I9" s="2"/>
    </row>
    <row r="10" spans="1:9" x14ac:dyDescent="0.45">
      <c r="A10" s="14"/>
      <c r="B10" s="14"/>
      <c r="C10" s="14"/>
      <c r="D10" s="23" t="s">
        <v>21</v>
      </c>
      <c r="E10" s="3"/>
      <c r="F10" s="14"/>
      <c r="G10" s="14"/>
      <c r="H10" s="14"/>
      <c r="I10" s="23" t="s">
        <v>21</v>
      </c>
    </row>
    <row r="11" spans="1:9" x14ac:dyDescent="0.45">
      <c r="A11" s="13"/>
      <c r="B11" s="13"/>
      <c r="C11" s="13"/>
      <c r="D11" s="23"/>
      <c r="E11" s="3"/>
      <c r="F11" s="13"/>
      <c r="G11" s="13"/>
      <c r="H11" s="13"/>
      <c r="I11" s="23"/>
    </row>
    <row r="12" spans="1:9" x14ac:dyDescent="0.45">
      <c r="A12" s="13"/>
      <c r="B12" s="13"/>
      <c r="C12" s="13"/>
      <c r="D12" s="23"/>
      <c r="E12" s="3"/>
      <c r="F12" s="13"/>
      <c r="G12" s="13"/>
      <c r="H12" s="13"/>
      <c r="I12" s="23"/>
    </row>
    <row r="13" spans="1:9" x14ac:dyDescent="0.45">
      <c r="A13" s="2" t="s">
        <v>29</v>
      </c>
      <c r="D13" s="23"/>
      <c r="E13" s="2"/>
      <c r="F13" s="2" t="s">
        <v>29</v>
      </c>
      <c r="I13" s="23"/>
    </row>
    <row r="14" spans="1:9" x14ac:dyDescent="0.45">
      <c r="A14" s="14"/>
      <c r="B14" s="14"/>
      <c r="C14" s="13"/>
      <c r="D14" s="23"/>
      <c r="E14" s="3"/>
      <c r="F14" s="14"/>
      <c r="G14" s="14"/>
      <c r="H14" s="13"/>
      <c r="I14" s="23"/>
    </row>
    <row r="15" spans="1:9" x14ac:dyDescent="0.45">
      <c r="A15" s="14"/>
      <c r="B15" s="13"/>
      <c r="C15" s="13"/>
      <c r="D15" s="23"/>
      <c r="E15" s="3"/>
      <c r="F15" s="14"/>
      <c r="G15" s="14"/>
      <c r="H15" s="13"/>
      <c r="I15" s="23"/>
    </row>
    <row r="16" spans="1:9" x14ac:dyDescent="0.45">
      <c r="A16" s="13"/>
      <c r="B16" s="13"/>
      <c r="C16" s="13"/>
      <c r="D16" s="23"/>
      <c r="E16" s="3"/>
      <c r="F16" s="13"/>
      <c r="G16" s="13"/>
      <c r="H16" s="13"/>
      <c r="I16" s="23"/>
    </row>
    <row r="17" spans="1:26" ht="15" customHeight="1" thickBot="1" x14ac:dyDescent="0.7">
      <c r="Z17" s="16"/>
    </row>
    <row r="18" spans="1:26" ht="15" customHeight="1" thickBot="1" x14ac:dyDescent="0.7">
      <c r="A18" s="2" t="s">
        <v>39</v>
      </c>
      <c r="D18" s="6" t="str">
        <f>IF(ISERROR(AVERAGE(DCOABCS5)),"",MROUND(AVERAGE(DCOABCS5),0.5))</f>
        <v/>
      </c>
      <c r="F18" s="2" t="s">
        <v>40</v>
      </c>
      <c r="I18" s="6" t="str">
        <f>IF(ISERROR(AVERAGE(DCOABCS6)),"",MROUND(AVERAGE(DCOABCS6),0.5))</f>
        <v/>
      </c>
      <c r="Z18" s="16"/>
    </row>
    <row r="19" spans="1:26" ht="15" customHeight="1" x14ac:dyDescent="0.65">
      <c r="Z19" s="16"/>
    </row>
    <row r="20" spans="1:26" x14ac:dyDescent="0.45">
      <c r="A20" s="2" t="s">
        <v>30</v>
      </c>
      <c r="D20" s="23" t="s">
        <v>23</v>
      </c>
      <c r="E20" s="2"/>
      <c r="F20" s="2" t="s">
        <v>30</v>
      </c>
      <c r="I20" s="23" t="s">
        <v>23</v>
      </c>
    </row>
    <row r="21" spans="1:26" x14ac:dyDescent="0.45">
      <c r="A21" s="14"/>
      <c r="B21" s="14"/>
      <c r="C21" s="14"/>
      <c r="D21" s="23"/>
      <c r="E21" s="3"/>
      <c r="F21" s="14"/>
      <c r="G21" s="14"/>
      <c r="H21" s="14"/>
      <c r="I21" s="23"/>
    </row>
    <row r="22" spans="1:26" x14ac:dyDescent="0.45">
      <c r="A22" s="13"/>
      <c r="B22" s="13"/>
      <c r="C22" s="13"/>
      <c r="D22" s="23"/>
      <c r="E22" s="3"/>
      <c r="F22" s="13"/>
      <c r="G22" s="13"/>
      <c r="H22" s="13"/>
      <c r="I22" s="23"/>
    </row>
    <row r="23" spans="1:26" ht="15" customHeight="1" x14ac:dyDescent="0.65">
      <c r="A23" s="13"/>
      <c r="B23" s="13"/>
      <c r="C23" s="13"/>
      <c r="D23" s="23"/>
      <c r="E23" s="3"/>
      <c r="F23" s="13"/>
      <c r="G23" s="13"/>
      <c r="H23" s="13"/>
      <c r="I23" s="23"/>
      <c r="Z23" s="16"/>
    </row>
    <row r="24" spans="1:26" ht="15" customHeight="1" thickBot="1" x14ac:dyDescent="0.7">
      <c r="Z24" s="16"/>
    </row>
    <row r="25" spans="1:26" ht="15" customHeight="1" thickBot="1" x14ac:dyDescent="0.7">
      <c r="A25" s="2" t="s">
        <v>41</v>
      </c>
      <c r="D25" s="6" t="str">
        <f>IF(ISERROR(AVERAGE(DCODS5)),"",MROUND(AVERAGE(DCODS5),0.5))</f>
        <v/>
      </c>
      <c r="F25" s="2" t="s">
        <v>42</v>
      </c>
      <c r="I25" s="6" t="str">
        <f>IF(ISERROR(AVERAGE(DCODS6)),"",MROUND(AVERAGE(DCODS6),0.5))</f>
        <v/>
      </c>
      <c r="Z25" s="16"/>
    </row>
    <row r="26" spans="1:26" ht="14.65" thickBot="1" x14ac:dyDescent="0.5">
      <c r="I26" s="2"/>
    </row>
    <row r="27" spans="1:26" ht="15" thickTop="1" thickBot="1" x14ac:dyDescent="0.5">
      <c r="A27" s="2" t="s">
        <v>6</v>
      </c>
      <c r="B27" s="2"/>
      <c r="C27" s="2"/>
      <c r="D27" s="7" t="str">
        <f>IF(ISERROR(AVERAGE(DCOABCS5MOY,DCODS5MOY)),"",MROUND(AVERAGE(DCOABCS5MOY,DCODS5MOY),0.5))</f>
        <v/>
      </c>
      <c r="E27" s="2"/>
      <c r="F27" s="2" t="s">
        <v>6</v>
      </c>
      <c r="G27" s="2"/>
      <c r="H27" s="2"/>
      <c r="I27" s="7" t="str">
        <f>IF(ISERROR(AVERAGE(DCOABCS6MOY,DCODS6MOY)),"",MROUND(AVERAGE(DCOABCS6MOY,DCODS6MOY),0.5))</f>
        <v/>
      </c>
    </row>
    <row r="28" spans="1:26" ht="14.65" thickTop="1" x14ac:dyDescent="0.45"/>
    <row r="29" spans="1:26" s="1" customFormat="1" ht="30" customHeight="1" x14ac:dyDescent="0.65">
      <c r="A29" s="18" t="s">
        <v>7</v>
      </c>
      <c r="B29" s="18"/>
      <c r="C29" s="18"/>
      <c r="D29" s="18"/>
      <c r="E29" s="18"/>
      <c r="F29" s="18"/>
      <c r="G29" s="18"/>
      <c r="H29" s="18"/>
      <c r="I29" s="18"/>
      <c r="Z29" s="15"/>
    </row>
    <row r="30" spans="1:26" x14ac:dyDescent="0.45">
      <c r="A30" s="2" t="s">
        <v>8</v>
      </c>
      <c r="B30" s="2"/>
      <c r="C30" s="2"/>
      <c r="D30" s="2"/>
      <c r="E30" s="2"/>
      <c r="F30" s="2" t="s">
        <v>8</v>
      </c>
      <c r="G30" s="2"/>
      <c r="H30" s="2"/>
      <c r="I30" s="2"/>
    </row>
    <row r="31" spans="1:26" x14ac:dyDescent="0.45">
      <c r="A31" s="14"/>
      <c r="B31" s="14"/>
      <c r="C31" s="14"/>
      <c r="D31" s="3"/>
      <c r="E31" s="3"/>
      <c r="F31" s="14"/>
      <c r="G31" s="14"/>
      <c r="H31" s="14"/>
      <c r="I31" s="3"/>
    </row>
    <row r="32" spans="1:26" ht="14.65" thickBot="1" x14ac:dyDescent="0.5">
      <c r="A32" s="13"/>
      <c r="B32" s="13"/>
      <c r="C32" s="13"/>
      <c r="D32" s="3"/>
      <c r="E32" s="3"/>
      <c r="F32" s="13"/>
      <c r="G32" s="13"/>
      <c r="H32" s="13"/>
      <c r="I32" s="3"/>
    </row>
    <row r="33" spans="1:9" ht="14.65" thickBot="1" x14ac:dyDescent="0.5">
      <c r="A33" s="13"/>
      <c r="B33" s="13"/>
      <c r="C33" s="13"/>
      <c r="D33" s="6" t="str">
        <f>IF(ISERROR(AVERAGE(ECGLCS5)),"",MROUND(AVERAGE(ECGLCS5),0.5))</f>
        <v/>
      </c>
      <c r="E33" s="3"/>
      <c r="F33" s="13"/>
      <c r="G33" s="13"/>
      <c r="H33" s="13"/>
      <c r="I33" s="6" t="str">
        <f>IF(ISERROR(AVERAGE(ECGLCS6)),"",MROUND(AVERAGE(ECGLCS6),0.5))</f>
        <v/>
      </c>
    </row>
    <row r="34" spans="1:9" x14ac:dyDescent="0.45">
      <c r="A34" s="2" t="s">
        <v>9</v>
      </c>
      <c r="B34" s="2"/>
      <c r="C34" s="2"/>
      <c r="D34" s="2"/>
      <c r="E34" s="2"/>
      <c r="F34" s="2" t="s">
        <v>9</v>
      </c>
      <c r="G34" s="2"/>
      <c r="H34" s="2"/>
      <c r="I34" s="2"/>
    </row>
    <row r="35" spans="1:9" x14ac:dyDescent="0.45">
      <c r="A35" s="14"/>
      <c r="B35" s="14"/>
      <c r="C35" s="14"/>
      <c r="D35" s="3"/>
      <c r="E35" s="3"/>
      <c r="F35" s="14"/>
      <c r="G35" s="14"/>
      <c r="H35" s="14"/>
      <c r="I35" s="3"/>
    </row>
    <row r="36" spans="1:9" ht="14.65" thickBot="1" x14ac:dyDescent="0.5">
      <c r="A36" s="13"/>
      <c r="B36" s="13"/>
      <c r="C36" s="13"/>
      <c r="D36" s="3"/>
      <c r="E36" s="3"/>
      <c r="F36" s="13"/>
      <c r="G36" s="13"/>
      <c r="H36" s="13"/>
      <c r="I36" s="3"/>
    </row>
    <row r="37" spans="1:9" ht="14.65" thickBot="1" x14ac:dyDescent="0.5">
      <c r="A37" s="13"/>
      <c r="B37" s="13"/>
      <c r="C37" s="13"/>
      <c r="D37" s="6" t="str">
        <f>IF(ISERROR(AVERAGE(ECGSOS5)),"",MROUND(AVERAGE(ECGSOS5),0.5))</f>
        <v/>
      </c>
      <c r="E37" s="3"/>
      <c r="F37" s="13"/>
      <c r="G37" s="13"/>
      <c r="H37" s="13"/>
      <c r="I37" s="6" t="str">
        <f>IF(ISERROR(AVERAGE(ECGSOS6)),"",MROUND(AVERAGE(ECGSOS6),0.5))</f>
        <v/>
      </c>
    </row>
    <row r="38" spans="1:9" ht="14.65" thickBot="1" x14ac:dyDescent="0.5">
      <c r="A38" s="2"/>
      <c r="B38" s="2"/>
      <c r="C38" s="2"/>
      <c r="D38" s="2"/>
      <c r="E38" s="2"/>
      <c r="F38" s="2"/>
      <c r="G38" s="2"/>
      <c r="H38" s="2"/>
      <c r="I38" s="2"/>
    </row>
    <row r="39" spans="1:9" ht="15" thickTop="1" thickBot="1" x14ac:dyDescent="0.5">
      <c r="A39" s="2" t="s">
        <v>10</v>
      </c>
      <c r="B39" s="2"/>
      <c r="C39" s="2"/>
      <c r="D39" s="7" t="str">
        <f>IF(ISERROR(AVERAGE(ECGLCS5MOY,ECGSOS5MOY)),"",MROUND(AVERAGE(ECGLCS5MOY,ECGSOS5MOY),0.5))</f>
        <v/>
      </c>
      <c r="E39" s="2"/>
      <c r="F39" s="2" t="s">
        <v>10</v>
      </c>
      <c r="G39" s="2"/>
      <c r="H39" s="2"/>
      <c r="I39" s="7" t="str">
        <f>IF(ISERROR(AVERAGE(ECGLCS6MOY,ECGSOS6MOY)),"",MROUND(AVERAGE(ECGLCS6MOY,ECGSOS6MOY),0.5))</f>
        <v/>
      </c>
    </row>
    <row r="40" spans="1:9" ht="14.65" thickTop="1" x14ac:dyDescent="0.45"/>
    <row r="42" spans="1:9" x14ac:dyDescent="0.45">
      <c r="A42" s="2" t="s">
        <v>11</v>
      </c>
    </row>
    <row r="43" spans="1:9" x14ac:dyDescent="0.45">
      <c r="A43" s="2" t="s">
        <v>12</v>
      </c>
    </row>
    <row r="72" spans="26:26" x14ac:dyDescent="0.45">
      <c r="Z72" s="15">
        <v>6</v>
      </c>
    </row>
    <row r="73" spans="26:26" x14ac:dyDescent="0.45">
      <c r="Z73" s="15">
        <v>5.5</v>
      </c>
    </row>
    <row r="74" spans="26:26" x14ac:dyDescent="0.45">
      <c r="Z74" s="15">
        <v>5</v>
      </c>
    </row>
    <row r="75" spans="26:26" x14ac:dyDescent="0.45">
      <c r="Z75" s="15">
        <v>4.5</v>
      </c>
    </row>
    <row r="76" spans="26:26" x14ac:dyDescent="0.45">
      <c r="Z76" s="15">
        <v>4</v>
      </c>
    </row>
    <row r="77" spans="26:26" x14ac:dyDescent="0.45">
      <c r="Z77" s="15">
        <v>3.5</v>
      </c>
    </row>
    <row r="78" spans="26:26" x14ac:dyDescent="0.45">
      <c r="Z78" s="15">
        <v>3</v>
      </c>
    </row>
    <row r="79" spans="26:26" x14ac:dyDescent="0.45">
      <c r="Z79" s="15">
        <v>2.5</v>
      </c>
    </row>
    <row r="80" spans="26:26" x14ac:dyDescent="0.45">
      <c r="Z80" s="15">
        <v>2</v>
      </c>
    </row>
    <row r="81" spans="26:26" x14ac:dyDescent="0.45">
      <c r="Z81" s="15">
        <v>1.5</v>
      </c>
    </row>
    <row r="82" spans="26:26" x14ac:dyDescent="0.45">
      <c r="Z82" s="15">
        <v>1</v>
      </c>
    </row>
  </sheetData>
  <sheetProtection sheet="1" selectLockedCells="1"/>
  <mergeCells count="9">
    <mergeCell ref="A1:I1"/>
    <mergeCell ref="A5:I5"/>
    <mergeCell ref="A7:C7"/>
    <mergeCell ref="F7:H7"/>
    <mergeCell ref="A29:I29"/>
    <mergeCell ref="D10:D16"/>
    <mergeCell ref="I10:I16"/>
    <mergeCell ref="D20:D23"/>
    <mergeCell ref="I20:I23"/>
  </mergeCells>
  <conditionalFormatting sqref="A11:B11 F11:G11">
    <cfRule type="containsBlanks" dxfId="28" priority="11">
      <formula>LEN(TRIM(A11))=0</formula>
    </cfRule>
  </conditionalFormatting>
  <conditionalFormatting sqref="A14:B14">
    <cfRule type="containsBlanks" dxfId="27" priority="17">
      <formula>LEN(TRIM(A14))=0</formula>
    </cfRule>
  </conditionalFormatting>
  <conditionalFormatting sqref="A10:C10 F10:H10">
    <cfRule type="containsBlanks" dxfId="26" priority="16">
      <formula>LEN(TRIM(A10))=0</formula>
    </cfRule>
  </conditionalFormatting>
  <conditionalFormatting sqref="A21:C21 F21:H21">
    <cfRule type="containsBlanks" dxfId="25" priority="13">
      <formula>LEN(TRIM(A21))=0</formula>
    </cfRule>
  </conditionalFormatting>
  <conditionalFormatting sqref="A21:C23 F21:H23">
    <cfRule type="cellIs" dxfId="24" priority="14" operator="lessThan">
      <formula>4</formula>
    </cfRule>
  </conditionalFormatting>
  <conditionalFormatting sqref="A22:C23 F22:H23">
    <cfRule type="containsBlanks" dxfId="23" priority="12">
      <formula>LEN(TRIM(A22))=0</formula>
    </cfRule>
  </conditionalFormatting>
  <conditionalFormatting sqref="A12:C12 F12:H12 D27 D33 I33 D37 I37 D39 I39 I27">
    <cfRule type="cellIs" dxfId="22" priority="24" operator="lessThan">
      <formula>4</formula>
    </cfRule>
  </conditionalFormatting>
  <conditionalFormatting sqref="C10:C11 H10:H11 A12:C12 F12:H12 A15:C16 F15:H16 A32:C33 F32:H33 A36:C37 F36:H37">
    <cfRule type="containsBlanks" dxfId="21" priority="21">
      <formula>LEN(TRIM(A10))=0</formula>
    </cfRule>
  </conditionalFormatting>
  <conditionalFormatting sqref="C14">
    <cfRule type="containsBlanks" dxfId="20" priority="19">
      <formula>LEN(TRIM(C14))=0</formula>
    </cfRule>
  </conditionalFormatting>
  <conditionalFormatting sqref="F10:G10 A31:C31 F31:H31 A35:C35 F35:H35">
    <cfRule type="containsBlanks" dxfId="18" priority="22">
      <formula>LEN(TRIM(A10))=0</formula>
    </cfRule>
  </conditionalFormatting>
  <conditionalFormatting sqref="F10:G10">
    <cfRule type="containsBlanks" dxfId="17" priority="20">
      <formula>LEN(TRIM(F10))=0</formula>
    </cfRule>
  </conditionalFormatting>
  <conditionalFormatting sqref="F10:H10 A31:C33 F31:H33 A35:C37 F35:H37 A10:C10 C11 H11 A14:C16 F14:H16">
    <cfRule type="cellIs" dxfId="16" priority="23" operator="lessThan">
      <formula>4</formula>
    </cfRule>
  </conditionalFormatting>
  <conditionalFormatting sqref="F14:H14">
    <cfRule type="containsBlanks" dxfId="15" priority="10">
      <formula>LEN(TRIM(F14))=0</formula>
    </cfRule>
  </conditionalFormatting>
  <conditionalFormatting sqref="H14">
    <cfRule type="containsBlanks" dxfId="14" priority="9">
      <formula>LEN(TRIM(H14))=0</formula>
    </cfRule>
  </conditionalFormatting>
  <conditionalFormatting sqref="H3514">
    <cfRule type="cellIs" dxfId="13" priority="25" operator="lessThan">
      <formula>4</formula>
    </cfRule>
  </conditionalFormatting>
  <conditionalFormatting sqref="D18">
    <cfRule type="cellIs" dxfId="10" priority="6" operator="lessThan">
      <formula>4</formula>
    </cfRule>
  </conditionalFormatting>
  <conditionalFormatting sqref="I18">
    <cfRule type="cellIs" dxfId="9" priority="5" operator="lessThan">
      <formula>4</formula>
    </cfRule>
  </conditionalFormatting>
  <conditionalFormatting sqref="D25">
    <cfRule type="cellIs" dxfId="8" priority="4" operator="lessThan">
      <formula>4</formula>
    </cfRule>
  </conditionalFormatting>
  <conditionalFormatting sqref="I25">
    <cfRule type="cellIs" dxfId="0" priority="1" operator="lessThan">
      <formula>4</formula>
    </cfRule>
  </conditionalFormatting>
  <dataValidations count="1">
    <dataValidation type="list" allowBlank="1" showErrorMessage="1" errorTitle="ERREUR" error="Valeur des notes uniquement entre 1 et 6 par saut de 0.5." sqref="F31:H33 F21:H23 F35:H37 F14:H16 A10:C12 A31:C33 F10:H12 A21:C23 A35:C37 A14:C16" xr:uid="{C1343CE2-8F5E-4478-AE13-BDBCC784B61C}">
      <formula1>$Z$72:$Z$82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F54-4FED-421D-9D1B-92D66E0AA9DE}">
  <dimension ref="A1:V30"/>
  <sheetViews>
    <sheetView showGridLines="0" topLeftCell="A4" zoomScaleNormal="100" workbookViewId="0">
      <selection activeCell="D3" sqref="D3"/>
    </sheetView>
  </sheetViews>
  <sheetFormatPr baseColWidth="10" defaultColWidth="11.46484375" defaultRowHeight="14.25" x14ac:dyDescent="0.45"/>
  <cols>
    <col min="1" max="9" width="8.6640625" customWidth="1"/>
  </cols>
  <sheetData>
    <row r="1" spans="1:22" ht="45" customHeight="1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22" s="5" customFormat="1" ht="25.25" customHeight="1" x14ac:dyDescent="0.45">
      <c r="A3" s="4" t="s">
        <v>1</v>
      </c>
      <c r="D3" s="11"/>
      <c r="E3" s="10"/>
      <c r="F3" s="10"/>
      <c r="G3" s="10"/>
      <c r="H3" s="10"/>
      <c r="I3" s="10"/>
    </row>
    <row r="5" spans="1:22" ht="30" customHeight="1" x14ac:dyDescent="0.45">
      <c r="A5" s="18" t="s">
        <v>2</v>
      </c>
      <c r="B5" s="18"/>
      <c r="C5" s="18"/>
      <c r="D5" s="18"/>
      <c r="E5" s="18"/>
      <c r="F5" s="18"/>
      <c r="G5" s="18"/>
      <c r="H5" s="18"/>
      <c r="I5" s="18"/>
    </row>
    <row r="7" spans="1:22" x14ac:dyDescent="0.45">
      <c r="A7" s="19" t="s">
        <v>17</v>
      </c>
      <c r="B7" s="19"/>
      <c r="C7" s="19"/>
      <c r="D7" s="8" t="s">
        <v>4</v>
      </c>
      <c r="E7" s="9"/>
      <c r="V7" s="12">
        <v>2.5</v>
      </c>
    </row>
    <row r="8" spans="1:22" ht="14.65" thickBot="1" x14ac:dyDescent="0.5">
      <c r="V8" s="12">
        <v>2</v>
      </c>
    </row>
    <row r="9" spans="1:22" ht="14.65" thickBot="1" x14ac:dyDescent="0.5">
      <c r="A9" s="20" t="s">
        <v>3</v>
      </c>
      <c r="B9" s="20"/>
      <c r="C9" s="21"/>
      <c r="D9" s="6" t="str">
        <f>CPS1MOY</f>
        <v/>
      </c>
      <c r="E9" s="2"/>
      <c r="V9" s="12">
        <v>1.5</v>
      </c>
    </row>
    <row r="10" spans="1:22" ht="14.65" thickBot="1" x14ac:dyDescent="0.5">
      <c r="A10" s="20" t="s">
        <v>5</v>
      </c>
      <c r="B10" s="20"/>
      <c r="C10" s="21"/>
      <c r="D10" s="6" t="str">
        <f>CPS2MOY</f>
        <v/>
      </c>
      <c r="E10" s="2"/>
      <c r="V10" s="12">
        <v>1</v>
      </c>
    </row>
    <row r="11" spans="1:22" ht="14.65" thickBot="1" x14ac:dyDescent="0.5">
      <c r="A11" s="20" t="s">
        <v>13</v>
      </c>
      <c r="B11" s="20"/>
      <c r="C11" s="21"/>
      <c r="D11" s="6" t="str">
        <f>CPS3MOY</f>
        <v/>
      </c>
      <c r="E11" s="2"/>
    </row>
    <row r="12" spans="1:22" ht="14.65" thickBot="1" x14ac:dyDescent="0.5">
      <c r="A12" s="20" t="s">
        <v>14</v>
      </c>
      <c r="B12" s="20"/>
      <c r="C12" s="21"/>
      <c r="D12" s="6" t="str">
        <f>CPS4MOY</f>
        <v/>
      </c>
      <c r="E12" s="2"/>
    </row>
    <row r="13" spans="1:22" ht="14.65" thickBot="1" x14ac:dyDescent="0.5">
      <c r="A13" s="20" t="s">
        <v>15</v>
      </c>
      <c r="B13" s="20"/>
      <c r="C13" s="21"/>
      <c r="D13" s="6" t="str">
        <f>CPS5MOY</f>
        <v/>
      </c>
      <c r="E13" s="2"/>
    </row>
    <row r="14" spans="1:22" ht="14.65" thickBot="1" x14ac:dyDescent="0.5">
      <c r="A14" s="20" t="s">
        <v>16</v>
      </c>
      <c r="B14" s="20"/>
      <c r="C14" s="21"/>
      <c r="D14" s="6" t="str">
        <f>CPS6MOY</f>
        <v/>
      </c>
      <c r="E14" s="2"/>
    </row>
    <row r="15" spans="1:22" ht="14.65" thickBot="1" x14ac:dyDescent="0.5">
      <c r="A15" s="2"/>
      <c r="B15" s="2"/>
      <c r="C15" s="2"/>
      <c r="D15" s="2"/>
      <c r="E15" s="2"/>
    </row>
    <row r="16" spans="1:22" ht="15" thickTop="1" thickBot="1" x14ac:dyDescent="0.5">
      <c r="A16" s="2" t="s">
        <v>19</v>
      </c>
      <c r="B16" s="2"/>
      <c r="C16" s="2"/>
      <c r="D16" s="7" t="str">
        <f>IF(ISERROR(AVERAGE(D9:D14)),"",MROUND(AVERAGE(D9:D14),0.5))</f>
        <v/>
      </c>
      <c r="E16" s="2"/>
    </row>
    <row r="17" spans="1:9" ht="14.65" thickTop="1" x14ac:dyDescent="0.45"/>
    <row r="18" spans="1:9" s="1" customFormat="1" ht="30" customHeight="1" x14ac:dyDescent="0.65">
      <c r="A18" s="18" t="s">
        <v>7</v>
      </c>
      <c r="B18" s="18"/>
      <c r="C18" s="18"/>
      <c r="D18" s="18"/>
      <c r="E18" s="18"/>
      <c r="F18" s="18"/>
      <c r="G18" s="18"/>
      <c r="H18" s="18"/>
      <c r="I18" s="18"/>
    </row>
    <row r="19" spans="1:9" ht="14.65" thickBot="1" x14ac:dyDescent="0.5"/>
    <row r="20" spans="1:9" ht="14.65" thickBot="1" x14ac:dyDescent="0.5">
      <c r="A20" s="20" t="s">
        <v>3</v>
      </c>
      <c r="B20" s="20"/>
      <c r="C20" s="21"/>
      <c r="D20" s="6" t="str">
        <f>ECGS1MOY</f>
        <v/>
      </c>
    </row>
    <row r="21" spans="1:9" ht="14.65" thickBot="1" x14ac:dyDescent="0.5">
      <c r="A21" s="20" t="s">
        <v>5</v>
      </c>
      <c r="B21" s="20"/>
      <c r="C21" s="21"/>
      <c r="D21" s="6" t="str">
        <f>ECGS2MOY</f>
        <v/>
      </c>
    </row>
    <row r="22" spans="1:9" ht="14.65" thickBot="1" x14ac:dyDescent="0.5">
      <c r="A22" s="20" t="s">
        <v>13</v>
      </c>
      <c r="B22" s="20"/>
      <c r="C22" s="21"/>
      <c r="D22" s="6" t="str">
        <f>ECGS3MOY</f>
        <v/>
      </c>
    </row>
    <row r="23" spans="1:9" ht="14.65" thickBot="1" x14ac:dyDescent="0.5">
      <c r="A23" s="20" t="s">
        <v>14</v>
      </c>
      <c r="B23" s="20"/>
      <c r="C23" s="21"/>
      <c r="D23" s="6" t="str">
        <f>ECGS4MOY</f>
        <v/>
      </c>
    </row>
    <row r="24" spans="1:9" ht="14.65" thickBot="1" x14ac:dyDescent="0.5">
      <c r="A24" s="20" t="s">
        <v>15</v>
      </c>
      <c r="B24" s="20"/>
      <c r="C24" s="21"/>
      <c r="D24" s="6" t="str">
        <f>ECGS5MOY</f>
        <v/>
      </c>
    </row>
    <row r="25" spans="1:9" ht="14.65" thickBot="1" x14ac:dyDescent="0.5">
      <c r="A25" s="20" t="s">
        <v>16</v>
      </c>
      <c r="B25" s="20"/>
      <c r="C25" s="21"/>
      <c r="D25" s="6" t="str">
        <f>ECGS6MOY</f>
        <v/>
      </c>
    </row>
    <row r="26" spans="1:9" ht="14.65" thickBot="1" x14ac:dyDescent="0.5">
      <c r="A26" s="2"/>
      <c r="B26" s="2"/>
      <c r="C26" s="2"/>
      <c r="D26" s="2"/>
      <c r="E26" s="2"/>
    </row>
    <row r="27" spans="1:9" ht="15" thickTop="1" thickBot="1" x14ac:dyDescent="0.5">
      <c r="A27" s="2" t="s">
        <v>18</v>
      </c>
      <c r="B27" s="2"/>
      <c r="C27" s="2"/>
      <c r="D27" s="7" t="str">
        <f>IF(ISERROR(AVERAGE(D20:D25)),"",MROUND(AVERAGE(D20:D25),0.5))</f>
        <v/>
      </c>
    </row>
    <row r="28" spans="1:9" ht="14.65" thickTop="1" x14ac:dyDescent="0.45"/>
    <row r="29" spans="1:9" x14ac:dyDescent="0.45">
      <c r="A29" s="2" t="s">
        <v>11</v>
      </c>
    </row>
    <row r="30" spans="1:9" x14ac:dyDescent="0.45">
      <c r="A30" s="2" t="s">
        <v>12</v>
      </c>
    </row>
  </sheetData>
  <sheetProtection sheet="1" selectLockedCells="1"/>
  <mergeCells count="16">
    <mergeCell ref="A1:I1"/>
    <mergeCell ref="A5:I5"/>
    <mergeCell ref="A7:C7"/>
    <mergeCell ref="A18:I18"/>
    <mergeCell ref="A9:C9"/>
    <mergeCell ref="A10:C10"/>
    <mergeCell ref="A11:C11"/>
    <mergeCell ref="A12:C12"/>
    <mergeCell ref="A13:C13"/>
    <mergeCell ref="A14:C14"/>
    <mergeCell ref="A25:C25"/>
    <mergeCell ref="A20:C20"/>
    <mergeCell ref="A21:C21"/>
    <mergeCell ref="A22:C22"/>
    <mergeCell ref="A23:C23"/>
    <mergeCell ref="A24:C24"/>
  </mergeCells>
  <conditionalFormatting sqref="D9:D14">
    <cfRule type="containsBlanks" dxfId="6" priority="4">
      <formula>LEN(TRIM(D9))=0</formula>
    </cfRule>
    <cfRule type="containsBlanks" priority="5">
      <formula>LEN(TRIM(D9))=0</formula>
    </cfRule>
    <cfRule type="cellIs" dxfId="5" priority="7" operator="lessThan">
      <formula>4</formula>
    </cfRule>
  </conditionalFormatting>
  <conditionalFormatting sqref="D16 D27">
    <cfRule type="cellIs" dxfId="4" priority="8" operator="lessThan">
      <formula>4</formula>
    </cfRule>
  </conditionalFormatting>
  <conditionalFormatting sqref="D20:D25">
    <cfRule type="containsBlanks" dxfId="3" priority="1">
      <formula>LEN(TRIM(D20))=0</formula>
    </cfRule>
    <cfRule type="containsBlanks" priority="2">
      <formula>LEN(TRIM(D20))=0</formula>
    </cfRule>
    <cfRule type="cellIs" dxfId="2" priority="3" operator="lessThan">
      <formula>4</formula>
    </cfRule>
  </conditionalFormatting>
  <dataValidations disablePrompts="1" count="1">
    <dataValidation type="list" allowBlank="1" showErrorMessage="1" errorTitle="ERREUR" error="Valeur des notes uniquement entre 1 et 6 par saut de 0.5." sqref="B11:C11 B24:C24 B22:C22 B13:C13" xr:uid="{4B5B6145-CF11-4C43-8048-FE3271339623}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C8AB-05B1-4391-9816-BAA6BC768905}">
  <dimension ref="A1:H1"/>
  <sheetViews>
    <sheetView showGridLines="0" zoomScale="130" zoomScaleNormal="130" workbookViewId="0">
      <selection sqref="A1:H1"/>
    </sheetView>
  </sheetViews>
  <sheetFormatPr baseColWidth="10" defaultColWidth="11.46484375" defaultRowHeight="14.25" x14ac:dyDescent="0.45"/>
  <sheetData>
    <row r="1" spans="1:8" x14ac:dyDescent="0.45">
      <c r="A1" s="22" t="str">
        <f>HYPERLINK("https://orchid-saturnalia-96f.notion.site/lectricien-ne-de-montage-CFC-21bc8306527781228c80ebf83d8ee19b","EIT.SWISS ELMO")</f>
        <v>EIT.SWISS ELMO</v>
      </c>
      <c r="B1" s="22"/>
      <c r="C1" s="22"/>
      <c r="D1" s="22"/>
      <c r="E1" s="22"/>
      <c r="F1" s="22"/>
      <c r="G1" s="22"/>
      <c r="H1" s="22"/>
    </row>
  </sheetData>
  <sheetProtection sheet="1" objects="1" scenarios="1"/>
  <mergeCells count="1">
    <mergeCell ref="A1:H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7" ma:contentTypeDescription="Crée un document." ma:contentTypeScope="" ma:versionID="bba3fdba579c90fdf017b41b7810ec8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983b165c06fe95fdbadfc26f9de32b2f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Props1.xml><?xml version="1.0" encoding="utf-8"?>
<ds:datastoreItem xmlns:ds="http://schemas.openxmlformats.org/officeDocument/2006/customXml" ds:itemID="{B09B4E12-C5B5-423D-A5B0-596A57297A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88664-52FC-4B1D-8C3D-EFF71150629F}"/>
</file>

<file path=customXml/itemProps3.xml><?xml version="1.0" encoding="utf-8"?>
<ds:datastoreItem xmlns:ds="http://schemas.openxmlformats.org/officeDocument/2006/customXml" ds:itemID="{A0CD9735-D523-4BAA-9E32-583B1ED165D6}">
  <ds:schemaRefs>
    <ds:schemaRef ds:uri="http://schemas.microsoft.com/office/2006/metadata/properties"/>
    <ds:schemaRef ds:uri="http://schemas.microsoft.com/office/infopath/2007/PartnerControls"/>
    <ds:schemaRef ds:uri="81e70d26-bf48-4cf6-8ac1-a02ba5208bf1"/>
    <ds:schemaRef ds:uri="28ecda99-baeb-4159-826c-8d3ebe501c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60</vt:i4>
      </vt:variant>
    </vt:vector>
  </HeadingPairs>
  <TitlesOfParts>
    <vt:vector size="65" baseType="lpstr">
      <vt:lpstr>ELMO1_SEMESTRES_12</vt:lpstr>
      <vt:lpstr>ELMO2_SEMESTRES_34</vt:lpstr>
      <vt:lpstr>ELMO3_SEMESTRES_56</vt:lpstr>
      <vt:lpstr>CP_ECG_ELMO_BILAN</vt:lpstr>
      <vt:lpstr>EIT.SWISS ELMO</vt:lpstr>
      <vt:lpstr>CPS1MOY</vt:lpstr>
      <vt:lpstr>CPS2MOY</vt:lpstr>
      <vt:lpstr>CPS3MOY</vt:lpstr>
      <vt:lpstr>CPS4MOY</vt:lpstr>
      <vt:lpstr>CPS5MOY</vt:lpstr>
      <vt:lpstr>CPS6MOY</vt:lpstr>
      <vt:lpstr>DCOABCS1</vt:lpstr>
      <vt:lpstr>DCOABCS1MOY</vt:lpstr>
      <vt:lpstr>DCOABCS2</vt:lpstr>
      <vt:lpstr>DCOABCS2MOY</vt:lpstr>
      <vt:lpstr>DCOABCS3</vt:lpstr>
      <vt:lpstr>DCOABCS3MOY</vt:lpstr>
      <vt:lpstr>DCOABCS4</vt:lpstr>
      <vt:lpstr>DCOABCS4MOY</vt:lpstr>
      <vt:lpstr>DCOABCS5</vt:lpstr>
      <vt:lpstr>DCOABCS5MOY</vt:lpstr>
      <vt:lpstr>DCOABCS6</vt:lpstr>
      <vt:lpstr>DCOABCS6MOY</vt:lpstr>
      <vt:lpstr>DCODS1</vt:lpstr>
      <vt:lpstr>DCODS1MOY</vt:lpstr>
      <vt:lpstr>DCODS2</vt:lpstr>
      <vt:lpstr>DCODS2MOY</vt:lpstr>
      <vt:lpstr>DCODS3</vt:lpstr>
      <vt:lpstr>DCODS3MOY</vt:lpstr>
      <vt:lpstr>DCODS4</vt:lpstr>
      <vt:lpstr>DCODS4MOY</vt:lpstr>
      <vt:lpstr>DCODS5</vt:lpstr>
      <vt:lpstr>DCODS5MOY</vt:lpstr>
      <vt:lpstr>DCODS6</vt:lpstr>
      <vt:lpstr>DCODS6MOY</vt:lpstr>
      <vt:lpstr>ECGLCS1</vt:lpstr>
      <vt:lpstr>ECGLCS1MOY</vt:lpstr>
      <vt:lpstr>ECGLCS2</vt:lpstr>
      <vt:lpstr>ECGLCS2MOY</vt:lpstr>
      <vt:lpstr>ECGLCS3</vt:lpstr>
      <vt:lpstr>ECGLCS3MOY</vt:lpstr>
      <vt:lpstr>ECGLCS4</vt:lpstr>
      <vt:lpstr>ECGLCS4MOY</vt:lpstr>
      <vt:lpstr>ECGLCS5</vt:lpstr>
      <vt:lpstr>ECGLCS5MOY</vt:lpstr>
      <vt:lpstr>ECGLCS6</vt:lpstr>
      <vt:lpstr>ECGLCS6MOY</vt:lpstr>
      <vt:lpstr>ECGS1MOY</vt:lpstr>
      <vt:lpstr>ECGS2MOY</vt:lpstr>
      <vt:lpstr>ECGS3MOY</vt:lpstr>
      <vt:lpstr>ECGS4MOY</vt:lpstr>
      <vt:lpstr>ECGS5MOY</vt:lpstr>
      <vt:lpstr>ECGS6MOY</vt:lpstr>
      <vt:lpstr>ECGSOS1</vt:lpstr>
      <vt:lpstr>ECGSOS1MOY</vt:lpstr>
      <vt:lpstr>ECGSOS2</vt:lpstr>
      <vt:lpstr>ECGSOS2MOY</vt:lpstr>
      <vt:lpstr>ECGSOS3</vt:lpstr>
      <vt:lpstr>ECGSOS3MOY</vt:lpstr>
      <vt:lpstr>ECGSOS4</vt:lpstr>
      <vt:lpstr>ECGSOS4MOY</vt:lpstr>
      <vt:lpstr>ECGSOS5</vt:lpstr>
      <vt:lpstr>ECGSOS5MOY</vt:lpstr>
      <vt:lpstr>ECGSOS6</vt:lpstr>
      <vt:lpstr>ECGSOS6MOY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Maccaud</dc:creator>
  <cp:keywords/>
  <dc:description/>
  <cp:lastModifiedBy>Olivier Maccaud</cp:lastModifiedBy>
  <cp:revision/>
  <dcterms:created xsi:type="dcterms:W3CDTF">2024-03-11T19:14:30Z</dcterms:created>
  <dcterms:modified xsi:type="dcterms:W3CDTF">2026-05-25T16:33:42Z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</Properties>
</file>