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XTES_\EPSIC\ADMIN\ADMIN_DOMAINE_SANDRO\EIT_PQ_2026\ORFO_2026_FICHIERS_SANDRO\2026_ORFO_NOTES_ETIQUETTES_NUMERIQUES\"/>
    </mc:Choice>
  </mc:AlternateContent>
  <xr:revisionPtr revIDLastSave="0" documentId="13_ncr:1_{9FA7BC9C-7BCC-4CDA-A5E4-7535B1444318}" xr6:coauthVersionLast="47" xr6:coauthVersionMax="47" xr10:uidLastSave="{00000000-0000-0000-0000-000000000000}"/>
  <bookViews>
    <workbookView xWindow="-98" yWindow="-98" windowWidth="21795" windowHeight="12975" xr2:uid="{24446EAE-FF7B-4720-8461-B68F93A38A30}"/>
  </bookViews>
  <sheets>
    <sheet name="PELE1_SEMESTRES_12" sheetId="14" r:id="rId1"/>
    <sheet name="PELE2_SEMESTRES_34" sheetId="12" r:id="rId2"/>
    <sheet name="PELE3_SEMESTRES_56" sheetId="1" r:id="rId3"/>
    <sheet name="PELE4_SEMESTRES_78" sheetId="4" r:id="rId4"/>
    <sheet name="CP_ECG_PELE_BILAN" sheetId="10" r:id="rId5"/>
    <sheet name="EIT.SWISS PELE" sheetId="6" r:id="rId6"/>
  </sheets>
  <definedNames>
    <definedName name="CPS1MOY">PELE1_SEMESTRES_12!$D$42</definedName>
    <definedName name="CPS2MOY">PELE1_SEMESTRES_12!$I$42</definedName>
    <definedName name="CPS3MOY">PELE2_SEMESTRES_34!$D$42</definedName>
    <definedName name="CPS4MOY">PELE2_SEMESTRES_34!$I$42</definedName>
    <definedName name="CPS5MOY">PELE3_SEMESTRES_56!$D$23</definedName>
    <definedName name="CPS6MOY">PELE3_SEMESTRES_56!$I$23</definedName>
    <definedName name="CPS7MOY" localSheetId="3">PELE4_SEMESTRES_78!$D$23</definedName>
    <definedName name="CPS8MOY" localSheetId="3">PELE4_SEMESTRES_78!$I$23</definedName>
    <definedName name="DCOAP11S1">PELE1_SEMESTRES_12!$A$10:$C$12</definedName>
    <definedName name="DCOAP11S1MOY">PELE1_SEMESTRES_12!$D$12</definedName>
    <definedName name="DCOAP11S2">PELE1_SEMESTRES_12!$F$10:$H$12</definedName>
    <definedName name="DCOAP11S2MOY">PELE1_SEMESTRES_12!$I$12</definedName>
    <definedName name="DCOAP15S1">PELE1_SEMESTRES_12!$A$14:$C$16</definedName>
    <definedName name="DCOAP15S1MOY">PELE1_SEMESTRES_12!$D$16</definedName>
    <definedName name="DCOAP15S2">PELE1_SEMESTRES_12!$F$14:$H$16</definedName>
    <definedName name="DCOAP15S2MOY">PELE1_SEMESTRES_12!$I$16</definedName>
    <definedName name="DCOAP21S3">PELE2_SEMESTRES_34!$A$10:$C$12</definedName>
    <definedName name="DCOAP21S3MOY">PELE2_SEMESTRES_34!$D$12</definedName>
    <definedName name="DCOAP21S4">PELE2_SEMESTRES_34!$F$10:$H$12</definedName>
    <definedName name="DCOAP21S4MOY">PELE2_SEMESTRES_34!$I$12</definedName>
    <definedName name="DCOAP25S3">PELE2_SEMESTRES_34!$A$14:$C$16</definedName>
    <definedName name="DCOAP25S3MOY">PELE2_SEMESTRES_34!$D$16</definedName>
    <definedName name="DCOAP25S4">PELE2_SEMESTRES_34!$F$14:$H$16</definedName>
    <definedName name="DCOAP25S4MOY">PELE2_SEMESTRES_34!$I$16</definedName>
    <definedName name="DCOAS1">PELE1_SEMESTRES_12!$A$10:$C$16</definedName>
    <definedName name="DCOAS1MOY">PELE1_SEMESTRES_12!$D$18</definedName>
    <definedName name="DCOAS2">PELE1_SEMESTRES_12!$F$10:$H$16</definedName>
    <definedName name="DCOAS2MOY">PELE1_SEMESTRES_12!$I$18</definedName>
    <definedName name="DCOAS3">PELE2_SEMESTRES_34!$A$10:$C$16</definedName>
    <definedName name="DCOAS3MOY">PELE2_SEMESTRES_34!$D$18</definedName>
    <definedName name="DCOAS4">PELE2_SEMESTRES_34!$F$10:$H$16</definedName>
    <definedName name="DCOAS4MOY">PELE2_SEMESTRES_34!$I$18</definedName>
    <definedName name="DCOBC12S1">PELE1_SEMESTRES_12!$A$21:$C$23</definedName>
    <definedName name="DCOBC12S1MOY">PELE1_SEMESTRES_12!$D$23</definedName>
    <definedName name="DCOBC12S2">PELE1_SEMESTRES_12!$F$21:$H$23</definedName>
    <definedName name="DCOBC12S2MOY">PELE1_SEMESTRES_12!$I$23</definedName>
    <definedName name="DCOBC16S1">PELE1_SEMESTRES_12!$A$25:$C$27</definedName>
    <definedName name="DCOBC16S1MOY">PELE1_SEMESTRES_12!$D$27</definedName>
    <definedName name="DCOBC16S2">PELE1_SEMESTRES_12!$F$25:$H$27</definedName>
    <definedName name="DCOBC16S2MOY">PELE1_SEMESTRES_12!$I$27</definedName>
    <definedName name="DCOBC26S3">PELE2_SEMESTRES_34!$A$25:$C$27</definedName>
    <definedName name="DCOBC26S3MOY">PELE2_SEMESTRES_34!$D$27</definedName>
    <definedName name="DCOBC26S4">PELE2_SEMESTRES_34!$F$25:$H$27</definedName>
    <definedName name="DCOBC26S4MOY">PELE2_SEMESTRES_34!$I$27</definedName>
    <definedName name="DCOBS1">PELE1_SEMESTRES_12!$A$21:$C$27</definedName>
    <definedName name="DCOBS1MOY">PELE1_SEMESTRES_12!$D$29</definedName>
    <definedName name="DCOBS2">PELE1_SEMESTRES_12!$F$21:$H$27</definedName>
    <definedName name="DCOBS2MOY">PELE1_SEMESTRES_12!$I$29</definedName>
    <definedName name="DCOBS3">PELE2_SEMESTRES_34!$A$21:$C$27</definedName>
    <definedName name="DCOBS3MOY">PELE2_SEMESTRES_34!$D$29</definedName>
    <definedName name="DCOBS4">PELE2_SEMESTRES_34!$F$21:$H$27</definedName>
    <definedName name="DCOBS4MOY">PELE2_SEMESTRES_34!$I$29</definedName>
    <definedName name="DCOBS5">PELE3_SEMESTRES_56!$A$10:$C$12</definedName>
    <definedName name="DCOBS5MOY">PELE3_SEMESTRES_56!$D$14</definedName>
    <definedName name="DCOBS6">PELE3_SEMESTRES_56!$F$10:$H$12</definedName>
    <definedName name="DCOBS6MOY">PELE3_SEMESTRES_56!$I$14</definedName>
    <definedName name="DCOBS7">PELE4_SEMESTRES_78!$A$10:$C$12</definedName>
    <definedName name="DCOBS7MOY">PELE4_SEMESTRES_78!$D$14</definedName>
    <definedName name="DCOBS8">PELE4_SEMESTRES_78!$F$10:$H$12</definedName>
    <definedName name="DCOBS8MOY">PELE4_SEMESTRES_78!$I$14</definedName>
    <definedName name="DCOCC22S3">PELE2_SEMESTRES_34!$A$21:$C$23</definedName>
    <definedName name="DCOCC22S3MOY">PELE2_SEMESTRES_34!$D$23</definedName>
    <definedName name="DCOCC22S4">PELE2_SEMESTRES_34!$F$21:$H$23</definedName>
    <definedName name="DCOCC22S4MOY">PELE2_SEMESTRES_34!$I$23</definedName>
    <definedName name="DCODE23S3">PELE2_SEMESTRES_34!$A$32:$C$34</definedName>
    <definedName name="DCODE23S3MOY">PELE2_SEMESTRES_34!$D$34</definedName>
    <definedName name="DCODE23S4">PELE2_SEMESTRES_34!$F$32:$H$34</definedName>
    <definedName name="DCODE23S4MOY">PELE2_SEMESTRES_34!$I$34</definedName>
    <definedName name="DCODE24S3">PELE2_SEMESTRES_34!$A$36:$C$38</definedName>
    <definedName name="DCODE24S3MOY">PELE2_SEMESTRES_34!$D$38</definedName>
    <definedName name="DCODE24S4">PELE2_SEMESTRES_34!$F$36:$H$38</definedName>
    <definedName name="DCODE24S4MOY">PELE2_SEMESTRES_34!$I$38</definedName>
    <definedName name="DCODS3">PELE2_SEMESTRES_34!$A$32:$C$38</definedName>
    <definedName name="DCODS3MOY">PELE2_SEMESTRES_34!$D$40</definedName>
    <definedName name="DCODS4">PELE2_SEMESTRES_34!$F$32:$H$38</definedName>
    <definedName name="DCODS4MOY">PELE2_SEMESTRES_34!$I$40</definedName>
    <definedName name="DCODS5">PELE3_SEMESTRES_56!$A$17:$C$19</definedName>
    <definedName name="DCODS5MOY">PELE3_SEMESTRES_56!$D$21</definedName>
    <definedName name="DCODS6">PELE3_SEMESTRES_56!$F$17:$H$19</definedName>
    <definedName name="DCODS6MOY">PELE3_SEMESTRES_56!$I$21</definedName>
    <definedName name="DCODS7">PELE4_SEMESTRES_78!$A$17:$C$19</definedName>
    <definedName name="DCODS7MOY">PELE4_SEMESTRES_78!$D$21</definedName>
    <definedName name="DCODS8">PELE4_SEMESTRES_78!$F$17:$H$19</definedName>
    <definedName name="DCODS8MOY">PELE4_SEMESTRES_78!$I$21</definedName>
    <definedName name="DCOEF13S1MOY">PELE1_SEMESTRES_12!$D$34</definedName>
    <definedName name="DCOEF13S2MOY">PELE1_SEMESTRES_12!$I$34</definedName>
    <definedName name="DCOEF14S1MOY">PELE1_SEMESTRES_12!$D$38</definedName>
    <definedName name="DCOEF14S2MOY">PELE1_SEMESTRES_12!$I$38</definedName>
    <definedName name="DCOES1">PELE1_SEMESTRES_12!$A$32:$C$34</definedName>
    <definedName name="DCOES1MOY">PELE1_SEMESTRES_12!$D$40</definedName>
    <definedName name="DCOES2">PELE1_SEMESTRES_12!$F$36:$H$38</definedName>
    <definedName name="DCOES2MOY">PELE1_SEMESTRES_12!$I$40</definedName>
    <definedName name="DCOS1">PELE1_SEMESTRES_12!$A$10:$C$23</definedName>
    <definedName name="DCOS2">PELE1_SEMESTRES_12!$F$10:$H$23</definedName>
    <definedName name="ECGLCS1">PELE1_SEMESTRES_12!$A$46:$C$48</definedName>
    <definedName name="ECGLCS1MOY">PELE1_SEMESTRES_12!$D$48</definedName>
    <definedName name="ECGLCS2">PELE1_SEMESTRES_12!$F$46:$H$48</definedName>
    <definedName name="ECGLCS2MOY">PELE1_SEMESTRES_12!$I$48</definedName>
    <definedName name="ECGLCS3" localSheetId="0">PELE1_SEMESTRES_12!$A$46:$C$48</definedName>
    <definedName name="ECGLCS3">PELE2_SEMESTRES_34!$A$46:$C$48</definedName>
    <definedName name="ECGLCS3MOY">PELE2_SEMESTRES_34!$D$48</definedName>
    <definedName name="ECGLCS4">PELE2_SEMESTRES_34!$F$46:$H$48</definedName>
    <definedName name="ECGLCS4MOY">PELE2_SEMESTRES_34!$I$48</definedName>
    <definedName name="ECGLCS5">PELE3_SEMESTRES_56!$A$27:$C$29</definedName>
    <definedName name="ECGLCS5MOY">PELE3_SEMESTRES_56!$D$29</definedName>
    <definedName name="ECGLCS6">PELE3_SEMESTRES_56!$F$27:$H$29</definedName>
    <definedName name="ECGLCS6MOY">PELE3_SEMESTRES_56!$I$29</definedName>
    <definedName name="ECGLCS7" localSheetId="3">PELE4_SEMESTRES_78!$A$27:$C$29</definedName>
    <definedName name="ECGLCS7MOY" localSheetId="3">PELE4_SEMESTRES_78!$D$29</definedName>
    <definedName name="ECGLCS8" localSheetId="3">PELE4_SEMESTRES_78!$F$27:$H$29</definedName>
    <definedName name="ECGLCS8MOY" localSheetId="3">PELE4_SEMESTRES_78!$I$29</definedName>
    <definedName name="ECGS1MOY">PELE1_SEMESTRES_12!$D$54</definedName>
    <definedName name="ECGS2MOY">PELE1_SEMESTRES_12!$I$54</definedName>
    <definedName name="ECGS3MOY">PELE2_SEMESTRES_34!$D$54</definedName>
    <definedName name="ECGS4MOY">PELE2_SEMESTRES_34!$I$54</definedName>
    <definedName name="ECGS5MOY">PELE3_SEMESTRES_56!$D$35</definedName>
    <definedName name="ECGS6MOY">PELE3_SEMESTRES_56!$I$35</definedName>
    <definedName name="ECGS7MOY" localSheetId="3">PELE4_SEMESTRES_78!$D$35</definedName>
    <definedName name="ECGS8MOY" localSheetId="3">PELE4_SEMESTRES_78!$I$35</definedName>
    <definedName name="ECGSOS1">PELE1_SEMESTRES_12!$A$50:$C$52</definedName>
    <definedName name="ECGSOS1MOY">PELE1_SEMESTRES_12!$D$52</definedName>
    <definedName name="ECGSOS2">PELE1_SEMESTRES_12!$F$50:$H$52</definedName>
    <definedName name="ECGSOS2MOY">PELE1_SEMESTRES_12!$I$52</definedName>
    <definedName name="ECGSOS3" localSheetId="0">PELE1_SEMESTRES_12!$A$50:$C$52</definedName>
    <definedName name="ECGSOS3">PELE2_SEMESTRES_34!$A$50:$C$52</definedName>
    <definedName name="ECGSOS3MOY">PELE2_SEMESTRES_34!$D$52</definedName>
    <definedName name="ECGSOS4">PELE2_SEMESTRES_34!$F$50:$H$52</definedName>
    <definedName name="ECGSOS4MOY">PELE2_SEMESTRES_34!$I$52</definedName>
    <definedName name="ECGSOS5">PELE3_SEMESTRES_56!$A$31:$C$33</definedName>
    <definedName name="ECGSOS5MOY">PELE3_SEMESTRES_56!$D$33</definedName>
    <definedName name="ECGSOS6">PELE3_SEMESTRES_56!$F$31:$H$33</definedName>
    <definedName name="ECGSOS6MOY">PELE3_SEMESTRES_56!$I$33</definedName>
    <definedName name="ECGSOS7" localSheetId="3">PELE4_SEMESTRES_78!$A$31:$C$33</definedName>
    <definedName name="ECGSOS7MOY" localSheetId="3">PELE4_SEMESTRES_78!$D$33</definedName>
    <definedName name="ECGSOS8" localSheetId="3">PELE4_SEMESTRES_78!$F$31:$H$33</definedName>
    <definedName name="ECGSOS8MOY" localSheetId="3">PELE4_SEMESTRES_78!$I$33</definedName>
    <definedName name="Print_Area" localSheetId="4">CP_ECG_PELE_BILAN!$A$1:$I$34</definedName>
    <definedName name="Print_Area" localSheetId="0">PELE1_SEMESTRES_12!$A$1:$I$58</definedName>
    <definedName name="Print_Area" localSheetId="1">PELE2_SEMESTRES_34!$A$1:$I$58</definedName>
    <definedName name="Print_Area" localSheetId="2">PELE3_SEMESTRES_56!$A$1:$I$39</definedName>
    <definedName name="Print_Area" localSheetId="3">PELE4_SEMESTRES_78!$A$1:$I$39</definedName>
    <definedName name="_xlnm.Print_Area" localSheetId="4">CP_ECG_PELE_BILAN!$A$1:$I$34</definedName>
    <definedName name="_xlnm.Print_Area" localSheetId="0">PELE1_SEMESTRES_12!$A$1:$I$58</definedName>
    <definedName name="_xlnm.Print_Area" localSheetId="1">PELE2_SEMESTRES_34!$A$1:$I$58</definedName>
    <definedName name="_xlnm.Print_Area" localSheetId="2">PELE3_SEMESTRES_56!$A$1:$I$39</definedName>
    <definedName name="_xlnm.Print_Area" localSheetId="3">PELE4_SEMESTRES_78!$A$1:$I$39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2" l="1"/>
  <c r="J24" i="12"/>
  <c r="D21" i="4"/>
  <c r="I21" i="4"/>
  <c r="D14" i="4"/>
  <c r="I14" i="4"/>
  <c r="D21" i="1"/>
  <c r="I21" i="1"/>
  <c r="I14" i="1"/>
  <c r="I23" i="1" s="1"/>
  <c r="D14" i="1"/>
  <c r="D23" i="1" s="1"/>
  <c r="I40" i="12"/>
  <c r="D40" i="12"/>
  <c r="I29" i="12"/>
  <c r="D29" i="12"/>
  <c r="I18" i="12"/>
  <c r="D18" i="12"/>
  <c r="J24" i="14"/>
  <c r="J13" i="14"/>
  <c r="I40" i="14"/>
  <c r="D40" i="14"/>
  <c r="I29" i="14"/>
  <c r="D29" i="14"/>
  <c r="I18" i="14"/>
  <c r="D18" i="14"/>
  <c r="A1" i="6"/>
  <c r="D42" i="12" l="1"/>
  <c r="D23" i="4"/>
  <c r="I23" i="4"/>
  <c r="D42" i="14"/>
  <c r="I42" i="12"/>
  <c r="I42" i="14"/>
  <c r="D52" i="14" l="1"/>
  <c r="D48" i="14"/>
  <c r="I48" i="14"/>
  <c r="I52" i="14"/>
  <c r="D52" i="12"/>
  <c r="I52" i="12"/>
  <c r="I48" i="12"/>
  <c r="D48" i="12"/>
  <c r="I29" i="4"/>
  <c r="I33" i="4"/>
  <c r="D33" i="4"/>
  <c r="D29" i="4"/>
  <c r="I33" i="1"/>
  <c r="D33" i="1"/>
  <c r="I29" i="1"/>
  <c r="D29" i="1"/>
  <c r="I54" i="14" l="1"/>
  <c r="D23" i="10" s="1"/>
  <c r="D54" i="14"/>
  <c r="D22" i="10" s="1"/>
  <c r="D9" i="10"/>
  <c r="D10" i="10"/>
  <c r="D11" i="10"/>
  <c r="D12" i="10"/>
  <c r="D35" i="4"/>
  <c r="D28" i="10" s="1"/>
  <c r="I54" i="12"/>
  <c r="D25" i="10" s="1"/>
  <c r="D54" i="12"/>
  <c r="D24" i="10" s="1"/>
  <c r="D16" i="10"/>
  <c r="I35" i="4"/>
  <c r="D29" i="10" s="1"/>
  <c r="D15" i="10"/>
  <c r="I35" i="1"/>
  <c r="D27" i="10" s="1"/>
  <c r="D35" i="1"/>
  <c r="D26" i="10" s="1"/>
  <c r="D13" i="10"/>
  <c r="D14" i="10"/>
  <c r="D31" i="10" l="1"/>
  <c r="D18" i="10"/>
</calcChain>
</file>

<file path=xl/sharedStrings.xml><?xml version="1.0" encoding="utf-8"?>
<sst xmlns="http://schemas.openxmlformats.org/spreadsheetml/2006/main" count="165" uniqueCount="62">
  <si>
    <t>Planificateur/trice-électricien/ne CFC</t>
  </si>
  <si>
    <t>Nom et prénom :</t>
  </si>
  <si>
    <t>Connaissances professionnelles «CP»</t>
  </si>
  <si>
    <t>Semestre 1</t>
  </si>
  <si>
    <t>Moyenne</t>
  </si>
  <si>
    <t>Semestre 2</t>
  </si>
  <si>
    <t>Moyenne de «CP»</t>
  </si>
  <si>
    <t>Culture générale «ECG»</t>
  </si>
  <si>
    <t>Langues et commun.</t>
  </si>
  <si>
    <t>Société</t>
  </si>
  <si>
    <t>Moyenne d'«ECG»</t>
  </si>
  <si>
    <t>Toutes les notes et les moyennes sont arrondies à 0.5</t>
  </si>
  <si>
    <t>Important : ce bulletin est mis à disposition à titre indicatif. Seul le bulletin officiel fait foi.</t>
  </si>
  <si>
    <t>Semestre 3</t>
  </si>
  <si>
    <t>Semestre 4</t>
  </si>
  <si>
    <t>Semestre 5</t>
  </si>
  <si>
    <t>Semestre 6</t>
  </si>
  <si>
    <t>Semestre 7</t>
  </si>
  <si>
    <t>Semestre 8</t>
  </si>
  <si>
    <t>Semestres</t>
  </si>
  <si>
    <t>Moyenne de «CP» 4 ans</t>
  </si>
  <si>
    <t>Moyenne d'«ECG» 4 ans</t>
  </si>
  <si>
    <t>P-PELE 11</t>
  </si>
  <si>
    <t>DCO A</t>
  </si>
  <si>
    <t>P-PELE 15 (++)</t>
  </si>
  <si>
    <t>DCO B</t>
  </si>
  <si>
    <t>DCO E</t>
  </si>
  <si>
    <t>C-PELE 12</t>
  </si>
  <si>
    <t>C-PELE 16 (++)</t>
  </si>
  <si>
    <t>F-PELE 13</t>
  </si>
  <si>
    <t>F-PELE 14</t>
  </si>
  <si>
    <t>P-PELE 21</t>
  </si>
  <si>
    <t>P-PELE 25 (++)</t>
  </si>
  <si>
    <t>C-PELE 22</t>
  </si>
  <si>
    <t>C-PELE 26 (++)</t>
  </si>
  <si>
    <t>DCO D</t>
  </si>
  <si>
    <t>E-PELE 23</t>
  </si>
  <si>
    <t>E-PELE 24</t>
  </si>
  <si>
    <t>C-PELE 31</t>
  </si>
  <si>
    <t>E-PELE 32</t>
  </si>
  <si>
    <t>EF-PELE 42</t>
  </si>
  <si>
    <t>C-PELE 41</t>
  </si>
  <si>
    <t>Moyenne S1 «DCO A»</t>
  </si>
  <si>
    <t>Moyenne S2 «DCO A»</t>
  </si>
  <si>
    <t>Moyenne S1 «DCO B»</t>
  </si>
  <si>
    <t>Moyenne S2 «DCO B»</t>
  </si>
  <si>
    <t>Moyenne S1 «DCO E»</t>
  </si>
  <si>
    <t>Moyenne S2 «DCO E»</t>
  </si>
  <si>
    <t>Moyenne S3 «DCO A»</t>
  </si>
  <si>
    <t>Moyenne S4 «DCO A»</t>
  </si>
  <si>
    <t>Moyenne S3 «DCO B»</t>
  </si>
  <si>
    <t>Moyenne S4 «DCO B»</t>
  </si>
  <si>
    <t>Moyenne S3 «DCO D»</t>
  </si>
  <si>
    <t>Moyenne S4 «DCO D»</t>
  </si>
  <si>
    <t>Moyenne S5 «DCO B»</t>
  </si>
  <si>
    <t>Moyenne S6 «DCO B»</t>
  </si>
  <si>
    <t>Moyenne S5 «DCO D»</t>
  </si>
  <si>
    <t>Moyenne S6 «DCO D»</t>
  </si>
  <si>
    <t>Moyenne S7 «DCO B»</t>
  </si>
  <si>
    <t>Moyenne S8 «DCO B»</t>
  </si>
  <si>
    <t>Moyenne S7 «DCO D»</t>
  </si>
  <si>
    <t>Moyenne S8 «DCO D»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</si>
</sst>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20"/>
      <color theme="1"/>
      <name val="Cambria"/>
      <family val="1"/>
    </font>
    <font>
      <b/>
      <sz val="16"/>
      <color theme="1"/>
      <name val="Cambria"/>
      <family val="1"/>
    </font>
    <font>
      <sz val="16"/>
      <color theme="1"/>
      <name val="Aptos Narrow"/>
      <family val="2"/>
      <scheme val="minor"/>
    </font>
    <font>
      <sz val="11"/>
      <color theme="1"/>
      <name val="Cambria"/>
      <family val="1"/>
    </font>
    <font>
      <sz val="16"/>
      <color theme="1"/>
      <name val="Cambria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6"/>
      <name val="Aptos Narrow"/>
      <family val="2"/>
      <scheme val="minor"/>
    </font>
    <font>
      <b/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9A66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0" fillId="0" borderId="3" xfId="0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8" fillId="0" borderId="0" xfId="0" applyFont="1"/>
    <xf numFmtId="0" fontId="4" fillId="3" borderId="5" xfId="0" applyFont="1" applyFill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10" fillId="0" borderId="0" xfId="0" applyFont="1"/>
    <xf numFmtId="0" fontId="4" fillId="4" borderId="5" xfId="0" applyFont="1" applyFill="1" applyBorder="1" applyAlignment="1" applyProtection="1">
      <alignment horizontal="center"/>
      <protection locked="0"/>
    </xf>
    <xf numFmtId="0" fontId="11" fillId="0" borderId="0" xfId="0" applyFont="1"/>
    <xf numFmtId="0" fontId="1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5" borderId="0" xfId="0" applyFont="1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13" fillId="6" borderId="0" xfId="0" applyFont="1" applyFill="1" applyAlignment="1">
      <alignment horizontal="center" vertical="center" textRotation="90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9" fillId="0" borderId="0" xfId="1" applyAlignment="1">
      <alignment horizontal="center"/>
    </xf>
    <xf numFmtId="0" fontId="0" fillId="0" borderId="0" xfId="0" applyAlignment="1"/>
  </cellXfs>
  <cellStyles count="2">
    <cellStyle name="Lien hypertexte" xfId="1" builtinId="8"/>
    <cellStyle name="Normal" xfId="0" builtinId="0"/>
  </cellStyles>
  <dxfs count="129"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0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strike val="0"/>
        <color theme="0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DDDD"/>
      <color rgb="FFFFCCCC"/>
      <color rgb="FFFFFFFF"/>
      <color rgb="FFFF9999"/>
      <color rgb="FFFF7C80"/>
      <color rgb="FFF4A49E"/>
      <color rgb="FF9A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2436-4E2C-455E-A39D-BDA0BF120069}">
  <dimension ref="A1:Z80"/>
  <sheetViews>
    <sheetView showGridLines="0" tabSelected="1" topLeftCell="A2" zoomScaleNormal="100" workbookViewId="0">
      <selection activeCell="D3" sqref="D3"/>
    </sheetView>
  </sheetViews>
  <sheetFormatPr baseColWidth="10" defaultColWidth="11.3984375" defaultRowHeight="14.25" x14ac:dyDescent="0.45"/>
  <cols>
    <col min="1" max="9" width="8.73046875" customWidth="1"/>
    <col min="26" max="26" width="11.59765625" style="17"/>
  </cols>
  <sheetData>
    <row r="1" spans="1:11" ht="45" customHeight="1" x14ac:dyDescent="0.45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3" spans="1:11" s="5" customFormat="1" ht="25.15" customHeight="1" x14ac:dyDescent="0.45">
      <c r="A3" s="4" t="s">
        <v>1</v>
      </c>
      <c r="D3" s="11"/>
      <c r="E3" s="10"/>
      <c r="F3" s="10"/>
      <c r="G3" s="10"/>
      <c r="H3" s="10"/>
      <c r="I3" s="10"/>
    </row>
    <row r="5" spans="1:11" ht="30" customHeight="1" x14ac:dyDescent="0.45">
      <c r="A5" s="22" t="s">
        <v>2</v>
      </c>
      <c r="B5" s="22"/>
      <c r="C5" s="22"/>
      <c r="D5" s="22"/>
      <c r="E5" s="22"/>
      <c r="F5" s="22"/>
      <c r="G5" s="22"/>
      <c r="H5" s="22"/>
      <c r="I5" s="22"/>
    </row>
    <row r="7" spans="1:11" x14ac:dyDescent="0.45">
      <c r="A7" s="24" t="s">
        <v>3</v>
      </c>
      <c r="B7" s="24"/>
      <c r="C7" s="24"/>
      <c r="D7" s="8" t="s">
        <v>4</v>
      </c>
      <c r="E7" s="9"/>
      <c r="F7" s="24" t="s">
        <v>5</v>
      </c>
      <c r="G7" s="24"/>
      <c r="H7" s="24"/>
      <c r="I7" s="8" t="s">
        <v>4</v>
      </c>
    </row>
    <row r="9" spans="1:11" x14ac:dyDescent="0.45">
      <c r="A9" s="2" t="s">
        <v>22</v>
      </c>
      <c r="B9" s="2"/>
      <c r="C9" s="2"/>
      <c r="D9" s="2"/>
      <c r="E9" s="2"/>
      <c r="F9" s="2" t="s">
        <v>22</v>
      </c>
      <c r="G9" s="2"/>
      <c r="H9" s="2"/>
      <c r="I9" s="2"/>
    </row>
    <row r="10" spans="1:11" x14ac:dyDescent="0.45">
      <c r="A10" s="16"/>
      <c r="B10" s="16"/>
      <c r="C10" s="16"/>
      <c r="D10" s="25" t="s">
        <v>23</v>
      </c>
      <c r="E10" s="3"/>
      <c r="F10" s="16"/>
      <c r="G10" s="16"/>
      <c r="H10" s="16"/>
      <c r="I10" s="25" t="s">
        <v>23</v>
      </c>
    </row>
    <row r="11" spans="1:11" x14ac:dyDescent="0.45">
      <c r="A11" s="14"/>
      <c r="B11" s="14"/>
      <c r="C11" s="14"/>
      <c r="D11" s="25"/>
      <c r="E11" s="3"/>
      <c r="F11" s="14"/>
      <c r="G11" s="14"/>
      <c r="H11" s="14"/>
      <c r="I11" s="25"/>
    </row>
    <row r="12" spans="1:11" x14ac:dyDescent="0.45">
      <c r="A12" s="14"/>
      <c r="B12" s="14"/>
      <c r="C12" s="14"/>
      <c r="D12" s="25"/>
      <c r="E12" s="3"/>
      <c r="F12" s="14"/>
      <c r="G12" s="14"/>
      <c r="H12" s="14"/>
      <c r="I12" s="25"/>
    </row>
    <row r="13" spans="1:11" x14ac:dyDescent="0.45">
      <c r="A13" s="21" t="s">
        <v>24</v>
      </c>
      <c r="B13" s="21"/>
      <c r="C13" s="21"/>
      <c r="D13" s="25"/>
      <c r="E13" s="2"/>
      <c r="F13" s="21" t="s">
        <v>24</v>
      </c>
      <c r="G13" s="21"/>
      <c r="H13" s="21"/>
      <c r="I13" s="25"/>
      <c r="J13" s="26" t="str">
        <f>IF(AND(COUNT(DCOAP15S1)&gt;0,COUNT(DCOAP15S2)&gt;0),"CONFLIT : Supprimez les notes du semestre non concerné (S1 OU S2 uniquement).","")</f>
        <v/>
      </c>
      <c r="K13" s="26"/>
    </row>
    <row r="14" spans="1:11" x14ac:dyDescent="0.45">
      <c r="A14" s="16"/>
      <c r="B14" s="16"/>
      <c r="C14" s="14"/>
      <c r="D14" s="25"/>
      <c r="E14" s="3"/>
      <c r="F14" s="16"/>
      <c r="G14" s="16"/>
      <c r="H14" s="14"/>
      <c r="I14" s="25"/>
      <c r="J14" s="26"/>
      <c r="K14" s="26"/>
    </row>
    <row r="15" spans="1:11" x14ac:dyDescent="0.45">
      <c r="A15" s="16"/>
      <c r="B15" s="16"/>
      <c r="C15" s="14"/>
      <c r="D15" s="25"/>
      <c r="E15" s="3"/>
      <c r="F15" s="14"/>
      <c r="G15" s="14"/>
      <c r="H15" s="14"/>
      <c r="I15" s="25"/>
      <c r="J15" s="26"/>
      <c r="K15" s="26"/>
    </row>
    <row r="16" spans="1:11" x14ac:dyDescent="0.45">
      <c r="A16" s="14"/>
      <c r="B16" s="14"/>
      <c r="C16" s="14"/>
      <c r="D16" s="25"/>
      <c r="E16" s="3"/>
      <c r="F16" s="14"/>
      <c r="G16" s="14"/>
      <c r="H16" s="14"/>
      <c r="I16" s="25"/>
      <c r="J16" s="26"/>
      <c r="K16" s="26"/>
    </row>
    <row r="17" spans="1:26" ht="15" customHeight="1" thickBot="1" x14ac:dyDescent="0.7">
      <c r="Z17" s="18"/>
    </row>
    <row r="18" spans="1:26" ht="15" customHeight="1" thickBot="1" x14ac:dyDescent="0.7">
      <c r="A18" s="2" t="s">
        <v>42</v>
      </c>
      <c r="D18" s="6" t="str">
        <f>IF(ISERROR(AVERAGE(DCOAS1)),"",MROUND(AVERAGE(DCOAS1),0.5))</f>
        <v/>
      </c>
      <c r="F18" s="2" t="s">
        <v>43</v>
      </c>
      <c r="I18" s="6" t="str">
        <f>IF(ISERROR(AVERAGE(DCOAS2)),"",MROUND(AVERAGE(DCOAS2),0.5))</f>
        <v/>
      </c>
      <c r="Z18" s="18"/>
    </row>
    <row r="19" spans="1:26" ht="15" customHeight="1" x14ac:dyDescent="0.65">
      <c r="Z19" s="18"/>
    </row>
    <row r="20" spans="1:26" x14ac:dyDescent="0.45">
      <c r="A20" s="2" t="s">
        <v>27</v>
      </c>
      <c r="D20" s="2"/>
      <c r="E20" s="2"/>
      <c r="F20" s="2" t="s">
        <v>27</v>
      </c>
      <c r="I20" s="2"/>
    </row>
    <row r="21" spans="1:26" x14ac:dyDescent="0.45">
      <c r="A21" s="16"/>
      <c r="B21" s="16"/>
      <c r="C21" s="16"/>
      <c r="D21" s="25" t="s">
        <v>25</v>
      </c>
      <c r="E21" s="3"/>
      <c r="F21" s="16"/>
      <c r="G21" s="16"/>
      <c r="H21" s="16"/>
      <c r="I21" s="25" t="s">
        <v>25</v>
      </c>
    </row>
    <row r="22" spans="1:26" x14ac:dyDescent="0.45">
      <c r="A22" s="14"/>
      <c r="B22" s="14"/>
      <c r="C22" s="14"/>
      <c r="D22" s="25"/>
      <c r="E22" s="3"/>
      <c r="F22" s="14"/>
      <c r="G22" s="14"/>
      <c r="H22" s="14"/>
      <c r="I22" s="25"/>
    </row>
    <row r="23" spans="1:26" ht="15" customHeight="1" x14ac:dyDescent="0.65">
      <c r="A23" s="14"/>
      <c r="B23" s="14"/>
      <c r="C23" s="14"/>
      <c r="D23" s="25"/>
      <c r="E23" s="3"/>
      <c r="F23" s="14"/>
      <c r="G23" s="14"/>
      <c r="H23" s="14"/>
      <c r="I23" s="25"/>
      <c r="Z23" s="18"/>
    </row>
    <row r="24" spans="1:26" x14ac:dyDescent="0.45">
      <c r="A24" s="21" t="s">
        <v>28</v>
      </c>
      <c r="B24" s="21"/>
      <c r="C24" s="21"/>
      <c r="D24" s="25"/>
      <c r="E24" s="2"/>
      <c r="F24" s="21" t="s">
        <v>28</v>
      </c>
      <c r="G24" s="21"/>
      <c r="H24" s="21"/>
      <c r="I24" s="25"/>
      <c r="J24" s="26" t="str">
        <f>IF(AND(COUNT(DCOBC16S1)&gt;0,COUNT(DCOBC16S2)&gt;0),"CONFLIT : Supprimez les notes du semestre non concerné (S1 OU S2 uniquement).","")</f>
        <v/>
      </c>
      <c r="K24" s="26"/>
    </row>
    <row r="25" spans="1:26" x14ac:dyDescent="0.45">
      <c r="A25" s="16"/>
      <c r="B25" s="16"/>
      <c r="C25" s="14"/>
      <c r="D25" s="25"/>
      <c r="E25" s="3"/>
      <c r="F25" s="16"/>
      <c r="G25" s="16"/>
      <c r="H25" s="14"/>
      <c r="I25" s="25"/>
      <c r="J25" s="26"/>
      <c r="K25" s="26"/>
    </row>
    <row r="26" spans="1:26" x14ac:dyDescent="0.45">
      <c r="A26" s="14"/>
      <c r="B26" s="14"/>
      <c r="C26" s="14"/>
      <c r="D26" s="25"/>
      <c r="E26" s="3"/>
      <c r="F26" s="14"/>
      <c r="G26" s="14"/>
      <c r="H26" s="14"/>
      <c r="I26" s="25"/>
      <c r="J26" s="26"/>
      <c r="K26" s="26"/>
    </row>
    <row r="27" spans="1:26" x14ac:dyDescent="0.45">
      <c r="A27" s="14"/>
      <c r="B27" s="14"/>
      <c r="C27" s="14"/>
      <c r="D27" s="25"/>
      <c r="E27" s="3"/>
      <c r="F27" s="14"/>
      <c r="G27" s="14"/>
      <c r="H27" s="14"/>
      <c r="I27" s="25"/>
      <c r="J27" s="26"/>
      <c r="K27" s="26"/>
    </row>
    <row r="28" spans="1:26" ht="15" customHeight="1" thickBot="1" x14ac:dyDescent="0.7">
      <c r="Z28" s="18"/>
    </row>
    <row r="29" spans="1:26" ht="15" customHeight="1" thickBot="1" x14ac:dyDescent="0.7">
      <c r="A29" s="2" t="s">
        <v>44</v>
      </c>
      <c r="D29" s="6" t="str">
        <f>IF(ISERROR(AVERAGE(DCOBS1)),"",MROUND(AVERAGE(DCOBS1),0.5))</f>
        <v/>
      </c>
      <c r="F29" s="2" t="s">
        <v>45</v>
      </c>
      <c r="I29" s="6" t="str">
        <f>IF(ISERROR(AVERAGE(DCOBS2)),"",MROUND(AVERAGE(DCOBS2),0.5))</f>
        <v/>
      </c>
      <c r="Z29" s="18"/>
    </row>
    <row r="30" spans="1:26" ht="15" customHeight="1" x14ac:dyDescent="0.65">
      <c r="Z30" s="18"/>
    </row>
    <row r="31" spans="1:26" x14ac:dyDescent="0.45">
      <c r="A31" s="2" t="s">
        <v>29</v>
      </c>
      <c r="B31" s="20"/>
      <c r="C31" s="20"/>
      <c r="D31" s="20"/>
      <c r="E31" s="2"/>
      <c r="I31" s="20"/>
      <c r="J31" s="19"/>
      <c r="K31" s="19"/>
    </row>
    <row r="32" spans="1:26" ht="14.25" customHeight="1" x14ac:dyDescent="0.45">
      <c r="A32" s="16"/>
      <c r="B32" s="16"/>
      <c r="C32" s="16"/>
      <c r="D32" s="25" t="s">
        <v>26</v>
      </c>
      <c r="E32" s="3"/>
      <c r="I32" s="25" t="s">
        <v>26</v>
      </c>
      <c r="J32" s="19"/>
      <c r="K32" s="19"/>
    </row>
    <row r="33" spans="1:26" x14ac:dyDescent="0.45">
      <c r="A33" s="14"/>
      <c r="B33" s="14"/>
      <c r="C33" s="14"/>
      <c r="D33" s="25"/>
      <c r="E33" s="3"/>
      <c r="I33" s="25"/>
      <c r="J33" s="19"/>
      <c r="K33" s="19"/>
    </row>
    <row r="34" spans="1:26" x14ac:dyDescent="0.45">
      <c r="A34" s="14"/>
      <c r="B34" s="14"/>
      <c r="C34" s="14"/>
      <c r="D34" s="25"/>
      <c r="E34" s="3"/>
      <c r="I34" s="25"/>
      <c r="J34" s="19"/>
      <c r="K34" s="19"/>
    </row>
    <row r="35" spans="1:26" x14ac:dyDescent="0.45">
      <c r="D35" s="25"/>
      <c r="E35" s="2"/>
      <c r="F35" s="2" t="s">
        <v>30</v>
      </c>
      <c r="I35" s="25"/>
      <c r="J35" s="19"/>
      <c r="K35" s="19"/>
    </row>
    <row r="36" spans="1:26" x14ac:dyDescent="0.45">
      <c r="D36" s="25"/>
      <c r="E36" s="3"/>
      <c r="F36" s="16"/>
      <c r="G36" s="16"/>
      <c r="H36" s="16"/>
      <c r="I36" s="25"/>
      <c r="J36" s="19"/>
      <c r="K36" s="19"/>
    </row>
    <row r="37" spans="1:26" x14ac:dyDescent="0.45">
      <c r="D37" s="25"/>
      <c r="E37" s="3"/>
      <c r="F37" s="14"/>
      <c r="G37" s="14"/>
      <c r="H37" s="14"/>
      <c r="I37" s="25"/>
      <c r="J37" s="19"/>
      <c r="K37" s="19"/>
    </row>
    <row r="38" spans="1:26" x14ac:dyDescent="0.45">
      <c r="D38" s="25"/>
      <c r="E38" s="3"/>
      <c r="F38" s="14"/>
      <c r="G38" s="14"/>
      <c r="H38" s="14"/>
      <c r="I38" s="25"/>
      <c r="J38" s="19"/>
      <c r="K38" s="19"/>
    </row>
    <row r="39" spans="1:26" ht="15" customHeight="1" thickBot="1" x14ac:dyDescent="0.7">
      <c r="Z39" s="18"/>
    </row>
    <row r="40" spans="1:26" ht="15" customHeight="1" thickBot="1" x14ac:dyDescent="0.7">
      <c r="A40" s="2" t="s">
        <v>46</v>
      </c>
      <c r="D40" s="6" t="str">
        <f>IF(ISERROR(AVERAGE(DCOES1)),"",MROUND(AVERAGE(DCOES1),0.5))</f>
        <v/>
      </c>
      <c r="F40" s="2" t="s">
        <v>47</v>
      </c>
      <c r="I40" s="6" t="str">
        <f>IF(ISERROR(AVERAGE(DCOES2)),"",MROUND(AVERAGE(DCOES2),0.5))</f>
        <v/>
      </c>
      <c r="Z40" s="18"/>
    </row>
    <row r="41" spans="1:26" ht="14.65" thickBot="1" x14ac:dyDescent="0.5"/>
    <row r="42" spans="1:26" ht="15" thickTop="1" thickBot="1" x14ac:dyDescent="0.5">
      <c r="A42" s="2" t="s">
        <v>6</v>
      </c>
      <c r="B42" s="2"/>
      <c r="C42" s="2"/>
      <c r="D42" s="7" t="str">
        <f>IF(ISERROR(AVERAGE(DCOAS1MOY,DCOBS1MOY,DCOES1MOY)),"",MROUND(AVERAGE(DCOAS1MOY,DCOBS1MOY,DCOES1MOY),0.5))</f>
        <v/>
      </c>
      <c r="E42" s="2"/>
      <c r="F42" s="2" t="s">
        <v>6</v>
      </c>
      <c r="G42" s="2"/>
      <c r="H42" s="2"/>
      <c r="I42" s="7" t="str">
        <f>IF(ISERROR(AVERAGE(DCOAS2MOY,DCOBS2MOY,DCOES2MOY)),"",MROUND(AVERAGE(DCOAS2MOY,DCOBS2MOY,DCOES2MOY),0.5))</f>
        <v/>
      </c>
    </row>
    <row r="43" spans="1:26" ht="14.65" thickTop="1" x14ac:dyDescent="0.45"/>
    <row r="44" spans="1:26" s="1" customFormat="1" ht="30" customHeight="1" x14ac:dyDescent="0.65">
      <c r="A44" s="22" t="s">
        <v>7</v>
      </c>
      <c r="B44" s="22"/>
      <c r="C44" s="22"/>
      <c r="D44" s="22"/>
      <c r="E44" s="22"/>
      <c r="F44" s="22"/>
      <c r="G44" s="22"/>
      <c r="H44" s="22"/>
      <c r="I44" s="22"/>
      <c r="Z44" s="17"/>
    </row>
    <row r="45" spans="1:26" x14ac:dyDescent="0.45">
      <c r="A45" s="2" t="s">
        <v>8</v>
      </c>
      <c r="B45" s="2"/>
      <c r="C45" s="2"/>
      <c r="D45" s="2"/>
      <c r="E45" s="2"/>
      <c r="F45" s="2" t="s">
        <v>8</v>
      </c>
      <c r="G45" s="2"/>
      <c r="H45" s="2"/>
      <c r="I45" s="2"/>
    </row>
    <row r="46" spans="1:26" x14ac:dyDescent="0.45">
      <c r="A46" s="16"/>
      <c r="B46" s="16"/>
      <c r="C46" s="16"/>
      <c r="D46" s="3"/>
      <c r="E46" s="3"/>
      <c r="F46" s="16"/>
      <c r="G46" s="16"/>
      <c r="H46" s="16"/>
      <c r="I46" s="3"/>
    </row>
    <row r="47" spans="1:26" ht="14.65" thickBot="1" x14ac:dyDescent="0.5">
      <c r="A47" s="14"/>
      <c r="B47" s="14"/>
      <c r="C47" s="14"/>
      <c r="D47" s="3"/>
      <c r="E47" s="3"/>
      <c r="F47" s="14"/>
      <c r="G47" s="14"/>
      <c r="H47" s="14"/>
      <c r="I47" s="3"/>
    </row>
    <row r="48" spans="1:26" ht="14.65" thickBot="1" x14ac:dyDescent="0.5">
      <c r="A48" s="14"/>
      <c r="B48" s="14"/>
      <c r="C48" s="14"/>
      <c r="D48" s="6" t="str">
        <f>IF(ISERROR(AVERAGE(ECGLCS1)),"",MROUND(AVERAGE(ECGLCS1),0.5))</f>
        <v/>
      </c>
      <c r="E48" s="3"/>
      <c r="F48" s="14"/>
      <c r="G48" s="14"/>
      <c r="H48" s="14"/>
      <c r="I48" s="6" t="str">
        <f>IF(ISERROR(AVERAGE(ECGLCS2)),"",MROUND(AVERAGE(ECGLCS2),0.5))</f>
        <v/>
      </c>
    </row>
    <row r="49" spans="1:9" x14ac:dyDescent="0.45">
      <c r="A49" s="2" t="s">
        <v>9</v>
      </c>
      <c r="B49" s="2"/>
      <c r="C49" s="2"/>
      <c r="D49" s="2"/>
      <c r="E49" s="2"/>
      <c r="F49" s="2" t="s">
        <v>9</v>
      </c>
      <c r="G49" s="2"/>
      <c r="H49" s="2"/>
      <c r="I49" s="2"/>
    </row>
    <row r="50" spans="1:9" x14ac:dyDescent="0.45">
      <c r="A50" s="16"/>
      <c r="B50" s="16"/>
      <c r="C50" s="16"/>
      <c r="D50" s="3"/>
      <c r="E50" s="3"/>
      <c r="F50" s="16"/>
      <c r="G50" s="16"/>
      <c r="H50" s="16"/>
      <c r="I50" s="3"/>
    </row>
    <row r="51" spans="1:9" ht="14.65" thickBot="1" x14ac:dyDescent="0.5">
      <c r="A51" s="14"/>
      <c r="B51" s="14"/>
      <c r="C51" s="14"/>
      <c r="D51" s="3"/>
      <c r="E51" s="3"/>
      <c r="F51" s="14"/>
      <c r="G51" s="14"/>
      <c r="H51" s="14"/>
      <c r="I51" s="3"/>
    </row>
    <row r="52" spans="1:9" ht="14.65" thickBot="1" x14ac:dyDescent="0.5">
      <c r="A52" s="14"/>
      <c r="B52" s="14"/>
      <c r="C52" s="14"/>
      <c r="D52" s="6" t="str">
        <f>IF(ISERROR(AVERAGE(ECGSOS1)),"",MROUND(AVERAGE(ECGSOS1),0.5))</f>
        <v/>
      </c>
      <c r="E52" s="3"/>
      <c r="F52" s="14"/>
      <c r="G52" s="14"/>
      <c r="H52" s="14"/>
      <c r="I52" s="6" t="str">
        <f>IF(ISERROR(AVERAGE(ECGSOS2)),"",MROUND(AVERAGE(ECGSOS2),0.5))</f>
        <v/>
      </c>
    </row>
    <row r="53" spans="1:9" ht="14.65" thickBot="1" x14ac:dyDescent="0.5">
      <c r="A53" s="2"/>
      <c r="B53" s="2"/>
      <c r="C53" s="2"/>
      <c r="D53" s="2"/>
      <c r="E53" s="2"/>
      <c r="F53" s="2"/>
      <c r="G53" s="2"/>
      <c r="H53" s="2"/>
      <c r="I53" s="2"/>
    </row>
    <row r="54" spans="1:9" ht="15" thickTop="1" thickBot="1" x14ac:dyDescent="0.5">
      <c r="A54" s="2" t="s">
        <v>10</v>
      </c>
      <c r="B54" s="2"/>
      <c r="C54" s="2"/>
      <c r="D54" s="7" t="str">
        <f>IF(ISERROR(AVERAGE(ECGLCS1MOY,ECGSOS1MOY)),"",MROUND(AVERAGE(ECGLCS1MOY,ECGSOS1MOY),0.5))</f>
        <v/>
      </c>
      <c r="E54" s="2"/>
      <c r="F54" s="2" t="s">
        <v>10</v>
      </c>
      <c r="G54" s="2"/>
      <c r="H54" s="2"/>
      <c r="I54" s="7" t="str">
        <f>IF(ISERROR(AVERAGE(ECGLCS2MOY,ECGSOS2MOY)),"",MROUND(AVERAGE(ECGLCS2MOY,ECGSOS2MOY),0.5))</f>
        <v/>
      </c>
    </row>
    <row r="55" spans="1:9" ht="14.65" thickTop="1" x14ac:dyDescent="0.45"/>
    <row r="57" spans="1:9" x14ac:dyDescent="0.45">
      <c r="A57" s="2" t="s">
        <v>11</v>
      </c>
    </row>
    <row r="58" spans="1:9" x14ac:dyDescent="0.45">
      <c r="A58" s="2" t="s">
        <v>12</v>
      </c>
    </row>
    <row r="70" spans="26:26" x14ac:dyDescent="0.45">
      <c r="Z70" s="17">
        <v>6</v>
      </c>
    </row>
    <row r="71" spans="26:26" x14ac:dyDescent="0.45">
      <c r="Z71" s="17">
        <v>5.5</v>
      </c>
    </row>
    <row r="72" spans="26:26" x14ac:dyDescent="0.45">
      <c r="Z72" s="17">
        <v>5</v>
      </c>
    </row>
    <row r="73" spans="26:26" x14ac:dyDescent="0.45">
      <c r="Z73" s="17">
        <v>4.5</v>
      </c>
    </row>
    <row r="74" spans="26:26" x14ac:dyDescent="0.45">
      <c r="Z74" s="17">
        <v>4</v>
      </c>
    </row>
    <row r="75" spans="26:26" x14ac:dyDescent="0.45">
      <c r="Z75" s="17">
        <v>3.5</v>
      </c>
    </row>
    <row r="76" spans="26:26" x14ac:dyDescent="0.45">
      <c r="Z76" s="17">
        <v>3</v>
      </c>
    </row>
    <row r="77" spans="26:26" x14ac:dyDescent="0.45">
      <c r="Z77" s="17">
        <v>2.5</v>
      </c>
    </row>
    <row r="78" spans="26:26" x14ac:dyDescent="0.45">
      <c r="Z78" s="17">
        <v>2</v>
      </c>
    </row>
    <row r="79" spans="26:26" x14ac:dyDescent="0.45">
      <c r="Z79" s="17">
        <v>1.5</v>
      </c>
    </row>
    <row r="80" spans="26:26" x14ac:dyDescent="0.45">
      <c r="Z80" s="17">
        <v>1</v>
      </c>
    </row>
  </sheetData>
  <sheetProtection sheet="1" selectLockedCells="1"/>
  <mergeCells count="13">
    <mergeCell ref="J13:K16"/>
    <mergeCell ref="J24:K27"/>
    <mergeCell ref="A44:I44"/>
    <mergeCell ref="A1:I1"/>
    <mergeCell ref="A5:I5"/>
    <mergeCell ref="A7:C7"/>
    <mergeCell ref="F7:H7"/>
    <mergeCell ref="D10:D16"/>
    <mergeCell ref="I10:I16"/>
    <mergeCell ref="D21:D27"/>
    <mergeCell ref="I21:I27"/>
    <mergeCell ref="D32:D38"/>
    <mergeCell ref="I32:I38"/>
  </mergeCells>
  <conditionalFormatting sqref="A11:B11">
    <cfRule type="containsBlanks" dxfId="128" priority="24">
      <formula>LEN(TRIM(A11))=0</formula>
    </cfRule>
    <cfRule type="cellIs" dxfId="127" priority="25" operator="lessThan">
      <formula>4</formula>
    </cfRule>
  </conditionalFormatting>
  <conditionalFormatting sqref="A25:B25 F25:G25">
    <cfRule type="containsBlanks" dxfId="126" priority="41">
      <formula>LEN(TRIM(A25))=0</formula>
    </cfRule>
  </conditionalFormatting>
  <conditionalFormatting sqref="A10:C10">
    <cfRule type="containsBlanks" dxfId="125" priority="83">
      <formula>LEN(TRIM(A10))=0</formula>
    </cfRule>
  </conditionalFormatting>
  <conditionalFormatting sqref="A12:C12 D42 I42 D48 I48 D52 I52 D54 I54">
    <cfRule type="cellIs" dxfId="124" priority="88" operator="lessThan">
      <formula>4</formula>
    </cfRule>
  </conditionalFormatting>
  <conditionalFormatting sqref="A25:C27 F25:H27">
    <cfRule type="cellIs" dxfId="123" priority="42" operator="lessThan">
      <formula>4</formula>
    </cfRule>
  </conditionalFormatting>
  <conditionalFormatting sqref="A26:C27 F26:H27">
    <cfRule type="containsBlanks" dxfId="122" priority="40">
      <formula>LEN(TRIM(A26))=0</formula>
    </cfRule>
  </conditionalFormatting>
  <conditionalFormatting sqref="A32:C32">
    <cfRule type="containsBlanks" dxfId="121" priority="37">
      <formula>LEN(TRIM(A32))=0</formula>
    </cfRule>
  </conditionalFormatting>
  <conditionalFormatting sqref="A32:C34">
    <cfRule type="cellIs" dxfId="120" priority="38" operator="lessThan">
      <formula>4</formula>
    </cfRule>
  </conditionalFormatting>
  <conditionalFormatting sqref="A33:C34">
    <cfRule type="containsBlanks" dxfId="119" priority="36">
      <formula>LEN(TRIM(A33))=0</formula>
    </cfRule>
  </conditionalFormatting>
  <conditionalFormatting sqref="C10:C11 A12:C12 A15:C16 F15:H16 A22:C23 F22:H23 A47:C48 F47:H48 A51:C52 F51:H52">
    <cfRule type="containsBlanks" dxfId="118" priority="85">
      <formula>LEN(TRIM(A10))=0</formula>
    </cfRule>
  </conditionalFormatting>
  <conditionalFormatting sqref="C14">
    <cfRule type="containsBlanks" dxfId="117" priority="29">
      <formula>LEN(TRIM(C14))=0</formula>
    </cfRule>
  </conditionalFormatting>
  <conditionalFormatting sqref="C25">
    <cfRule type="containsBlanks" dxfId="116" priority="31">
      <formula>LEN(TRIM(C25))=0</formula>
    </cfRule>
  </conditionalFormatting>
  <conditionalFormatting sqref="D18">
    <cfRule type="cellIs" dxfId="115" priority="8" operator="lessThan">
      <formula>4</formula>
    </cfRule>
  </conditionalFormatting>
  <conditionalFormatting sqref="D29">
    <cfRule type="cellIs" dxfId="114" priority="6" operator="lessThan">
      <formula>4</formula>
    </cfRule>
  </conditionalFormatting>
  <conditionalFormatting sqref="D40">
    <cfRule type="cellIs" dxfId="113" priority="4" operator="lessThan">
      <formula>4</formula>
    </cfRule>
  </conditionalFormatting>
  <conditionalFormatting sqref="F10:G10 A14:B14 F14:G14 A21:C21 F21:H21 A46:C46 F46:H46 A50:C50 F50:H50">
    <cfRule type="containsBlanks" dxfId="112" priority="86">
      <formula>LEN(TRIM(A10))=0</formula>
    </cfRule>
  </conditionalFormatting>
  <conditionalFormatting sqref="F10:H10 A14:C16 F14:H16 A21:C23 F21:H23 A46:C48 F46:H48 A50:C52 F50:H52 A10:C10 C11">
    <cfRule type="cellIs" dxfId="111" priority="87" operator="lessThan">
      <formula>4</formula>
    </cfRule>
  </conditionalFormatting>
  <conditionalFormatting sqref="F10:H10">
    <cfRule type="containsBlanks" dxfId="110" priority="73">
      <formula>LEN(TRIM(F10))=0</formula>
    </cfRule>
    <cfRule type="containsBlanks" dxfId="109" priority="79">
      <formula>LEN(TRIM(F10))=0</formula>
    </cfRule>
  </conditionalFormatting>
  <conditionalFormatting sqref="F11:H12">
    <cfRule type="containsBlanks" dxfId="108" priority="22">
      <formula>LEN(TRIM(F11))=0</formula>
    </cfRule>
    <cfRule type="cellIs" dxfId="107" priority="23" operator="lessThan">
      <formula>4</formula>
    </cfRule>
  </conditionalFormatting>
  <conditionalFormatting sqref="F36:H36">
    <cfRule type="containsBlanks" dxfId="106" priority="33">
      <formula>LEN(TRIM(F36))=0</formula>
    </cfRule>
  </conditionalFormatting>
  <conditionalFormatting sqref="F36:H38">
    <cfRule type="cellIs" dxfId="105" priority="34" operator="lessThan">
      <formula>4</formula>
    </cfRule>
  </conditionalFormatting>
  <conditionalFormatting sqref="F37:H38">
    <cfRule type="containsBlanks" dxfId="104" priority="32">
      <formula>LEN(TRIM(F37))=0</formula>
    </cfRule>
  </conditionalFormatting>
  <conditionalFormatting sqref="H14">
    <cfRule type="containsBlanks" dxfId="103" priority="28">
      <formula>LEN(TRIM(H14))=0</formula>
    </cfRule>
  </conditionalFormatting>
  <conditionalFormatting sqref="H25">
    <cfRule type="containsBlanks" dxfId="102" priority="30">
      <formula>LEN(TRIM(H25))=0</formula>
    </cfRule>
  </conditionalFormatting>
  <conditionalFormatting sqref="H3529">
    <cfRule type="cellIs" dxfId="101" priority="89" operator="lessThan">
      <formula>4</formula>
    </cfRule>
  </conditionalFormatting>
  <conditionalFormatting sqref="I18">
    <cfRule type="cellIs" dxfId="100" priority="7" operator="lessThan">
      <formula>4</formula>
    </cfRule>
  </conditionalFormatting>
  <conditionalFormatting sqref="I29">
    <cfRule type="cellIs" dxfId="99" priority="5" operator="lessThan">
      <formula>4</formula>
    </cfRule>
  </conditionalFormatting>
  <conditionalFormatting sqref="I40">
    <cfRule type="cellIs" dxfId="98" priority="3" operator="lessThan">
      <formula>4</formula>
    </cfRule>
  </conditionalFormatting>
  <conditionalFormatting sqref="J13:K16">
    <cfRule type="expression" dxfId="97" priority="2">
      <formula>$J$13&lt;&gt;""</formula>
    </cfRule>
  </conditionalFormatting>
  <conditionalFormatting sqref="J24:K27">
    <cfRule type="expression" dxfId="96" priority="1">
      <formula>$J$24&lt;&gt;""</formula>
    </cfRule>
  </conditionalFormatting>
  <conditionalFormatting sqref="J31:K38">
    <cfRule type="expression" dxfId="95" priority="178">
      <formula>#REF!&lt;&gt;""</formula>
    </cfRule>
  </conditionalFormatting>
  <dataValidations count="1">
    <dataValidation type="list" allowBlank="1" showErrorMessage="1" errorTitle="ERREUR" error="Valeur des notes uniquement entre 1 et 6 par saut de 0.5." sqref="F50:H52 F10:H12 A10:C12 F25:H27 F14:H16 A32:C34 F36:H38 A50:C52 F46:H48 A46:C48 A21:C23 F21:H23 A14:C16 A25:C27" xr:uid="{7D1F0D9D-9015-4AB2-89BE-941B753C28BC}">
      <formula1>$Z$70:$Z$80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5BEC-4892-4CED-8175-6C4B918B2990}">
  <dimension ref="A1:Z80"/>
  <sheetViews>
    <sheetView showGridLines="0" zoomScaleNormal="100" workbookViewId="0">
      <selection activeCell="D3" sqref="D3"/>
    </sheetView>
  </sheetViews>
  <sheetFormatPr baseColWidth="10" defaultColWidth="11.3984375" defaultRowHeight="14.25" x14ac:dyDescent="0.45"/>
  <cols>
    <col min="1" max="9" width="8.73046875" customWidth="1"/>
    <col min="26" max="26" width="11.59765625" style="17"/>
  </cols>
  <sheetData>
    <row r="1" spans="1:11" ht="45" customHeight="1" x14ac:dyDescent="0.45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3" spans="1:11" s="5" customFormat="1" ht="25.15" customHeight="1" x14ac:dyDescent="0.45">
      <c r="A3" s="4" t="s">
        <v>1</v>
      </c>
      <c r="D3" s="11"/>
      <c r="E3" s="10"/>
      <c r="F3" s="10"/>
      <c r="G3" s="10"/>
      <c r="H3" s="10"/>
      <c r="I3" s="10"/>
    </row>
    <row r="5" spans="1:11" ht="30" customHeight="1" x14ac:dyDescent="0.45">
      <c r="A5" s="22" t="s">
        <v>2</v>
      </c>
      <c r="B5" s="22"/>
      <c r="C5" s="22"/>
      <c r="D5" s="22"/>
      <c r="E5" s="22"/>
      <c r="F5" s="22"/>
      <c r="G5" s="22"/>
      <c r="H5" s="22"/>
      <c r="I5" s="22"/>
    </row>
    <row r="7" spans="1:11" x14ac:dyDescent="0.45">
      <c r="A7" s="24" t="s">
        <v>13</v>
      </c>
      <c r="B7" s="24"/>
      <c r="C7" s="24"/>
      <c r="D7" s="8" t="s">
        <v>4</v>
      </c>
      <c r="E7" s="9"/>
      <c r="F7" s="24" t="s">
        <v>14</v>
      </c>
      <c r="G7" s="24"/>
      <c r="H7" s="24"/>
      <c r="I7" s="8" t="s">
        <v>4</v>
      </c>
    </row>
    <row r="9" spans="1:11" x14ac:dyDescent="0.45">
      <c r="A9" s="2" t="s">
        <v>31</v>
      </c>
      <c r="B9" s="2"/>
      <c r="C9" s="2"/>
      <c r="D9" s="2"/>
      <c r="E9" s="2"/>
      <c r="F9" s="2" t="s">
        <v>31</v>
      </c>
      <c r="G9" s="2"/>
      <c r="H9" s="2"/>
      <c r="I9" s="2"/>
    </row>
    <row r="10" spans="1:11" x14ac:dyDescent="0.45">
      <c r="A10" s="16"/>
      <c r="B10" s="16"/>
      <c r="C10" s="16"/>
      <c r="D10" s="25" t="s">
        <v>23</v>
      </c>
      <c r="E10" s="3"/>
      <c r="F10" s="16"/>
      <c r="G10" s="16"/>
      <c r="H10" s="16"/>
      <c r="I10" s="25" t="s">
        <v>23</v>
      </c>
    </row>
    <row r="11" spans="1:11" x14ac:dyDescent="0.45">
      <c r="A11" s="14"/>
      <c r="B11" s="14"/>
      <c r="C11" s="14"/>
      <c r="D11" s="25"/>
      <c r="E11" s="3"/>
      <c r="F11" s="14"/>
      <c r="G11" s="14"/>
      <c r="H11" s="14"/>
      <c r="I11" s="25"/>
    </row>
    <row r="12" spans="1:11" x14ac:dyDescent="0.45">
      <c r="A12" s="14"/>
      <c r="B12" s="14"/>
      <c r="C12" s="14"/>
      <c r="D12" s="25"/>
      <c r="E12" s="3"/>
      <c r="F12" s="14"/>
      <c r="G12" s="14"/>
      <c r="H12" s="14"/>
      <c r="I12" s="25"/>
    </row>
    <row r="13" spans="1:11" x14ac:dyDescent="0.45">
      <c r="A13" s="21" t="s">
        <v>32</v>
      </c>
      <c r="B13" s="21"/>
      <c r="C13" s="21"/>
      <c r="D13" s="25"/>
      <c r="E13" s="2"/>
      <c r="F13" s="21" t="s">
        <v>32</v>
      </c>
      <c r="G13" s="21"/>
      <c r="H13" s="21"/>
      <c r="I13" s="25"/>
      <c r="J13" s="26" t="str">
        <f>IF(AND(COUNT(DCOAP25S3)&gt;0,COUNT(DCOAP25S4)&gt;0),"CONFLIT : Supprimez les notes du semestre non concerné (S3 OU S4 uniquement).","")</f>
        <v/>
      </c>
      <c r="K13" s="26"/>
    </row>
    <row r="14" spans="1:11" x14ac:dyDescent="0.45">
      <c r="A14" s="16"/>
      <c r="B14" s="16"/>
      <c r="C14" s="14"/>
      <c r="D14" s="25"/>
      <c r="E14" s="3"/>
      <c r="F14" s="16"/>
      <c r="G14" s="16"/>
      <c r="H14" s="14"/>
      <c r="I14" s="25"/>
      <c r="J14" s="26"/>
      <c r="K14" s="26"/>
    </row>
    <row r="15" spans="1:11" x14ac:dyDescent="0.45">
      <c r="A15" s="14"/>
      <c r="B15" s="14"/>
      <c r="C15" s="14"/>
      <c r="D15" s="25"/>
      <c r="E15" s="3"/>
      <c r="F15" s="14"/>
      <c r="G15" s="14"/>
      <c r="H15" s="14"/>
      <c r="I15" s="25"/>
      <c r="J15" s="26"/>
      <c r="K15" s="26"/>
    </row>
    <row r="16" spans="1:11" x14ac:dyDescent="0.45">
      <c r="A16" s="14"/>
      <c r="B16" s="14"/>
      <c r="C16" s="14"/>
      <c r="D16" s="25"/>
      <c r="E16" s="3"/>
      <c r="F16" s="14"/>
      <c r="G16" s="14"/>
      <c r="H16" s="14"/>
      <c r="I16" s="25"/>
      <c r="J16" s="26"/>
      <c r="K16" s="26"/>
    </row>
    <row r="17" spans="1:26" ht="15" customHeight="1" thickBot="1" x14ac:dyDescent="0.7">
      <c r="Z17" s="18"/>
    </row>
    <row r="18" spans="1:26" ht="15" customHeight="1" thickBot="1" x14ac:dyDescent="0.7">
      <c r="A18" s="2" t="s">
        <v>48</v>
      </c>
      <c r="D18" s="6" t="str">
        <f>IF(ISERROR(AVERAGE(DCOAS3)),"",MROUND(AVERAGE(DCOAS3),0.5))</f>
        <v/>
      </c>
      <c r="F18" s="2" t="s">
        <v>49</v>
      </c>
      <c r="I18" s="6" t="str">
        <f>IF(ISERROR(AVERAGE(DCOAS4)),"",MROUND(AVERAGE(DCOAS4),0.5))</f>
        <v/>
      </c>
      <c r="Z18" s="18"/>
    </row>
    <row r="19" spans="1:26" ht="15" customHeight="1" x14ac:dyDescent="0.65">
      <c r="Z19" s="18"/>
    </row>
    <row r="20" spans="1:26" x14ac:dyDescent="0.45">
      <c r="A20" s="2" t="s">
        <v>33</v>
      </c>
      <c r="B20" s="2"/>
      <c r="C20" s="2"/>
      <c r="D20" s="2"/>
      <c r="E20" s="2"/>
      <c r="F20" s="2" t="s">
        <v>33</v>
      </c>
      <c r="G20" s="2"/>
      <c r="H20" s="2"/>
      <c r="I20" s="2"/>
    </row>
    <row r="21" spans="1:26" x14ac:dyDescent="0.45">
      <c r="A21" s="16"/>
      <c r="B21" s="16"/>
      <c r="C21" s="16"/>
      <c r="D21" s="25" t="s">
        <v>25</v>
      </c>
      <c r="E21" s="3"/>
      <c r="F21" s="16"/>
      <c r="G21" s="16"/>
      <c r="H21" s="16"/>
      <c r="I21" s="25" t="s">
        <v>25</v>
      </c>
    </row>
    <row r="22" spans="1:26" x14ac:dyDescent="0.45">
      <c r="A22" s="14"/>
      <c r="B22" s="14"/>
      <c r="C22" s="14"/>
      <c r="D22" s="25"/>
      <c r="E22" s="3"/>
      <c r="F22" s="14"/>
      <c r="G22" s="14"/>
      <c r="H22" s="14"/>
      <c r="I22" s="25"/>
    </row>
    <row r="23" spans="1:26" x14ac:dyDescent="0.45">
      <c r="A23" s="14"/>
      <c r="B23" s="14"/>
      <c r="C23" s="14"/>
      <c r="D23" s="25"/>
      <c r="E23" s="3"/>
      <c r="F23" s="14"/>
      <c r="G23" s="14"/>
      <c r="H23" s="14"/>
      <c r="I23" s="25"/>
    </row>
    <row r="24" spans="1:26" x14ac:dyDescent="0.45">
      <c r="A24" s="21" t="s">
        <v>34</v>
      </c>
      <c r="B24" s="21"/>
      <c r="C24" s="21"/>
      <c r="D24" s="25"/>
      <c r="E24" s="2"/>
      <c r="F24" s="21" t="s">
        <v>34</v>
      </c>
      <c r="G24" s="21"/>
      <c r="H24" s="21"/>
      <c r="I24" s="25"/>
      <c r="J24" s="26" t="str">
        <f>IF(AND(COUNT(DCOBC26S3)&gt;0,COUNT(DCOBC26S4)&gt;0),"CONFLIT : Supprimez les notes du semestre non concerné (S3 OU S4 uniquement).","")</f>
        <v/>
      </c>
      <c r="K24" s="26"/>
    </row>
    <row r="25" spans="1:26" x14ac:dyDescent="0.45">
      <c r="A25" s="16"/>
      <c r="B25" s="16"/>
      <c r="C25" s="14"/>
      <c r="D25" s="25"/>
      <c r="E25" s="3"/>
      <c r="F25" s="16"/>
      <c r="G25" s="16"/>
      <c r="H25" s="14"/>
      <c r="I25" s="25"/>
      <c r="J25" s="26"/>
      <c r="K25" s="26"/>
    </row>
    <row r="26" spans="1:26" x14ac:dyDescent="0.45">
      <c r="A26" s="14"/>
      <c r="B26" s="14"/>
      <c r="C26" s="14"/>
      <c r="D26" s="25"/>
      <c r="E26" s="3"/>
      <c r="F26" s="14"/>
      <c r="G26" s="14"/>
      <c r="H26" s="14"/>
      <c r="I26" s="25"/>
      <c r="J26" s="26"/>
      <c r="K26" s="26"/>
    </row>
    <row r="27" spans="1:26" x14ac:dyDescent="0.45">
      <c r="A27" s="14"/>
      <c r="B27" s="14"/>
      <c r="C27" s="14"/>
      <c r="D27" s="25"/>
      <c r="E27" s="3"/>
      <c r="F27" s="14"/>
      <c r="G27" s="14"/>
      <c r="H27" s="14"/>
      <c r="I27" s="25"/>
      <c r="J27" s="26"/>
      <c r="K27" s="26"/>
    </row>
    <row r="28" spans="1:26" ht="15" customHeight="1" thickBot="1" x14ac:dyDescent="0.7">
      <c r="Z28" s="18"/>
    </row>
    <row r="29" spans="1:26" ht="15" customHeight="1" thickBot="1" x14ac:dyDescent="0.7">
      <c r="A29" s="2" t="s">
        <v>50</v>
      </c>
      <c r="D29" s="6" t="str">
        <f>IF(ISERROR(AVERAGE(DCOBS3)),"",MROUND(AVERAGE(DCOBS3),0.5))</f>
        <v/>
      </c>
      <c r="F29" s="2" t="s">
        <v>51</v>
      </c>
      <c r="I29" s="6" t="str">
        <f>IF(ISERROR(AVERAGE(DCOBS4)),"",MROUND(AVERAGE(DCOBS4),0.5))</f>
        <v/>
      </c>
      <c r="Z29" s="18"/>
    </row>
    <row r="30" spans="1:26" ht="15" customHeight="1" x14ac:dyDescent="0.65">
      <c r="Z30" s="18"/>
    </row>
    <row r="31" spans="1:26" x14ac:dyDescent="0.45">
      <c r="A31" s="2" t="s">
        <v>36</v>
      </c>
      <c r="D31" s="2"/>
      <c r="E31" s="2"/>
      <c r="I31" s="2"/>
      <c r="J31" s="19"/>
      <c r="K31" s="19"/>
    </row>
    <row r="32" spans="1:26" x14ac:dyDescent="0.45">
      <c r="A32" s="16"/>
      <c r="B32" s="16"/>
      <c r="C32" s="16"/>
      <c r="D32" s="25" t="s">
        <v>35</v>
      </c>
      <c r="E32" s="3"/>
      <c r="I32" s="25" t="s">
        <v>35</v>
      </c>
      <c r="J32" s="20"/>
      <c r="K32" s="20"/>
    </row>
    <row r="33" spans="1:26" x14ac:dyDescent="0.45">
      <c r="A33" s="14"/>
      <c r="B33" s="14"/>
      <c r="C33" s="14"/>
      <c r="D33" s="25"/>
      <c r="E33" s="3"/>
      <c r="I33" s="25"/>
      <c r="J33" s="20"/>
      <c r="K33" s="20"/>
    </row>
    <row r="34" spans="1:26" x14ac:dyDescent="0.45">
      <c r="A34" s="14"/>
      <c r="B34" s="14"/>
      <c r="C34" s="14"/>
      <c r="D34" s="25"/>
      <c r="E34" s="3"/>
      <c r="I34" s="25"/>
      <c r="J34" s="20"/>
      <c r="K34" s="20"/>
    </row>
    <row r="35" spans="1:26" x14ac:dyDescent="0.45">
      <c r="D35" s="25"/>
      <c r="F35" s="2" t="s">
        <v>37</v>
      </c>
      <c r="I35" s="25"/>
      <c r="J35" s="20"/>
      <c r="K35" s="20"/>
    </row>
    <row r="36" spans="1:26" x14ac:dyDescent="0.45">
      <c r="D36" s="25"/>
      <c r="F36" s="16"/>
      <c r="G36" s="16"/>
      <c r="H36" s="16"/>
      <c r="I36" s="25"/>
      <c r="J36" s="20"/>
      <c r="K36" s="20"/>
      <c r="L36" s="30"/>
    </row>
    <row r="37" spans="1:26" x14ac:dyDescent="0.45">
      <c r="D37" s="25"/>
      <c r="F37" s="14"/>
      <c r="G37" s="14"/>
      <c r="H37" s="14"/>
      <c r="I37" s="25"/>
      <c r="J37" s="20"/>
      <c r="K37" s="20"/>
      <c r="L37" s="30"/>
    </row>
    <row r="38" spans="1:26" x14ac:dyDescent="0.45">
      <c r="D38" s="25"/>
      <c r="F38" s="14"/>
      <c r="G38" s="14"/>
      <c r="H38" s="14"/>
      <c r="I38" s="25"/>
      <c r="J38" s="20"/>
      <c r="K38" s="20"/>
      <c r="L38" s="30"/>
    </row>
    <row r="39" spans="1:26" ht="15" customHeight="1" thickBot="1" x14ac:dyDescent="0.7">
      <c r="Z39" s="18"/>
    </row>
    <row r="40" spans="1:26" ht="15" customHeight="1" thickBot="1" x14ac:dyDescent="0.7">
      <c r="A40" s="2" t="s">
        <v>52</v>
      </c>
      <c r="D40" s="6" t="str">
        <f>IF(ISERROR(AVERAGE(DCODS3)),"",MROUND(AVERAGE(DCODS3),0.5))</f>
        <v/>
      </c>
      <c r="F40" s="2" t="s">
        <v>53</v>
      </c>
      <c r="I40" s="6" t="str">
        <f>IF(ISERROR(AVERAGE(DCODS4)),"",MROUND(AVERAGE(DCODS4),0.5))</f>
        <v/>
      </c>
      <c r="Z40" s="18"/>
    </row>
    <row r="41" spans="1:26" ht="15" customHeight="1" thickBot="1" x14ac:dyDescent="0.7">
      <c r="Z41" s="18"/>
    </row>
    <row r="42" spans="1:26" ht="15" thickTop="1" thickBot="1" x14ac:dyDescent="0.5">
      <c r="A42" s="2" t="s">
        <v>6</v>
      </c>
      <c r="B42" s="2"/>
      <c r="C42" s="2"/>
      <c r="D42" s="7" t="str">
        <f>IF(ISERROR(AVERAGE(DCOAS3MOY,DCOBS3MOY,DCODS3MOY)),"",MROUND(AVERAGE(DCOAS3MOY,DCOBS3MOY,DCODS3MOY),0.5))</f>
        <v/>
      </c>
      <c r="E42" s="2"/>
      <c r="F42" s="2" t="s">
        <v>6</v>
      </c>
      <c r="G42" s="2"/>
      <c r="H42" s="2"/>
      <c r="I42" s="7" t="str">
        <f>IF(ISERROR(AVERAGE(DCOAS4MOY,DCOBS4MOY,DCODS4MOY)),"",MROUND(AVERAGE(DCOAS4MOY,DCOBS4MOY,DCODS4MOY),0.5))</f>
        <v/>
      </c>
    </row>
    <row r="43" spans="1:26" ht="14.65" thickTop="1" x14ac:dyDescent="0.45"/>
    <row r="44" spans="1:26" s="1" customFormat="1" ht="30" customHeight="1" x14ac:dyDescent="0.65">
      <c r="A44" s="22" t="s">
        <v>7</v>
      </c>
      <c r="B44" s="22"/>
      <c r="C44" s="22"/>
      <c r="D44" s="22"/>
      <c r="E44" s="22"/>
      <c r="F44" s="22"/>
      <c r="G44" s="22"/>
      <c r="H44" s="22"/>
      <c r="I44" s="22"/>
      <c r="Z44" s="17"/>
    </row>
    <row r="45" spans="1:26" x14ac:dyDescent="0.45">
      <c r="A45" s="2" t="s">
        <v>8</v>
      </c>
      <c r="B45" s="2"/>
      <c r="C45" s="2"/>
      <c r="D45" s="2"/>
      <c r="E45" s="2"/>
      <c r="F45" s="2" t="s">
        <v>8</v>
      </c>
      <c r="G45" s="2"/>
      <c r="H45" s="2"/>
      <c r="I45" s="2"/>
    </row>
    <row r="46" spans="1:26" x14ac:dyDescent="0.45">
      <c r="A46" s="16"/>
      <c r="B46" s="16"/>
      <c r="C46" s="16"/>
      <c r="D46" s="3"/>
      <c r="E46" s="3"/>
      <c r="F46" s="16"/>
      <c r="G46" s="16"/>
      <c r="H46" s="16"/>
      <c r="I46" s="3"/>
    </row>
    <row r="47" spans="1:26" ht="14.65" thickBot="1" x14ac:dyDescent="0.5">
      <c r="A47" s="14"/>
      <c r="B47" s="14"/>
      <c r="C47" s="14"/>
      <c r="D47" s="3"/>
      <c r="E47" s="3"/>
      <c r="F47" s="14"/>
      <c r="G47" s="14"/>
      <c r="H47" s="14"/>
      <c r="I47" s="3"/>
    </row>
    <row r="48" spans="1:26" ht="14.65" thickBot="1" x14ac:dyDescent="0.5">
      <c r="A48" s="14"/>
      <c r="B48" s="14"/>
      <c r="C48" s="14"/>
      <c r="D48" s="6" t="str">
        <f>IF(ISERROR(AVERAGE(ECGLCS3)),"",MROUND(AVERAGE(ECGLCS3),0.5))</f>
        <v/>
      </c>
      <c r="E48" s="3"/>
      <c r="F48" s="14"/>
      <c r="G48" s="14"/>
      <c r="H48" s="14"/>
      <c r="I48" s="6" t="str">
        <f>IF(ISERROR(AVERAGE(ECGLCS4)),"",MROUND(AVERAGE(ECGLCS4),0.5))</f>
        <v/>
      </c>
    </row>
    <row r="49" spans="1:9" x14ac:dyDescent="0.45">
      <c r="A49" s="2"/>
      <c r="B49" s="2"/>
      <c r="C49" s="2"/>
      <c r="D49" s="2"/>
      <c r="E49" s="2"/>
      <c r="F49" s="2" t="s">
        <v>9</v>
      </c>
      <c r="G49" s="2"/>
      <c r="H49" s="2"/>
      <c r="I49" s="2"/>
    </row>
    <row r="50" spans="1:9" x14ac:dyDescent="0.45">
      <c r="A50" s="16"/>
      <c r="B50" s="16"/>
      <c r="C50" s="16"/>
      <c r="D50" s="3"/>
      <c r="E50" s="3"/>
      <c r="F50" s="16"/>
      <c r="G50" s="16"/>
      <c r="H50" s="16"/>
      <c r="I50" s="3"/>
    </row>
    <row r="51" spans="1:9" ht="14.65" thickBot="1" x14ac:dyDescent="0.5">
      <c r="A51" s="14"/>
      <c r="B51" s="14"/>
      <c r="C51" s="14"/>
      <c r="D51" s="3"/>
      <c r="E51" s="3"/>
      <c r="F51" s="14"/>
      <c r="G51" s="14"/>
      <c r="H51" s="14"/>
      <c r="I51" s="3"/>
    </row>
    <row r="52" spans="1:9" ht="14.65" thickBot="1" x14ac:dyDescent="0.5">
      <c r="A52" s="14"/>
      <c r="B52" s="14"/>
      <c r="C52" s="14"/>
      <c r="D52" s="6" t="str">
        <f>IF(ISERROR(AVERAGE(ECGSOS3)),"",MROUND(AVERAGE(ECGSOS3),0.5))</f>
        <v/>
      </c>
      <c r="E52" s="3"/>
      <c r="F52" s="14"/>
      <c r="G52" s="14"/>
      <c r="H52" s="14"/>
      <c r="I52" s="6" t="str">
        <f>IF(ISERROR(AVERAGE(ECGSOS4)),"",MROUND(AVERAGE(ECGSOS4),0.5))</f>
        <v/>
      </c>
    </row>
    <row r="53" spans="1:9" ht="14.65" thickBot="1" x14ac:dyDescent="0.5">
      <c r="A53" s="2"/>
      <c r="B53" s="2"/>
      <c r="C53" s="2"/>
      <c r="D53" s="2"/>
      <c r="E53" s="2"/>
      <c r="F53" s="2"/>
      <c r="G53" s="2"/>
      <c r="H53" s="2"/>
      <c r="I53" s="2"/>
    </row>
    <row r="54" spans="1:9" ht="15" thickTop="1" thickBot="1" x14ac:dyDescent="0.5">
      <c r="A54" s="2" t="s">
        <v>10</v>
      </c>
      <c r="B54" s="2"/>
      <c r="C54" s="2"/>
      <c r="D54" s="7" t="str">
        <f>IF(ISERROR(AVERAGE(ECGLCS3MOY,ECGSOS3MOY)),"",MROUND(AVERAGE(ECGLCS3MOY,ECGSOS3MOY),0.5))</f>
        <v/>
      </c>
      <c r="E54" s="2"/>
      <c r="F54" s="2" t="s">
        <v>10</v>
      </c>
      <c r="G54" s="2"/>
      <c r="H54" s="2"/>
      <c r="I54" s="7" t="str">
        <f>IF(ISERROR(AVERAGE(ECGLCS4MOY,ECGSOS4MOY)),"",MROUND(AVERAGE(ECGLCS4MOY,ECGSOS4MOY),0.5))</f>
        <v/>
      </c>
    </row>
    <row r="55" spans="1:9" ht="14.65" thickTop="1" x14ac:dyDescent="0.45"/>
    <row r="57" spans="1:9" x14ac:dyDescent="0.45">
      <c r="A57" s="2" t="s">
        <v>11</v>
      </c>
    </row>
    <row r="58" spans="1:9" x14ac:dyDescent="0.45">
      <c r="A58" s="2" t="s">
        <v>12</v>
      </c>
    </row>
    <row r="70" spans="26:26" x14ac:dyDescent="0.45">
      <c r="Z70" s="17">
        <v>6</v>
      </c>
    </row>
    <row r="71" spans="26:26" x14ac:dyDescent="0.45">
      <c r="Z71" s="17">
        <v>5.5</v>
      </c>
    </row>
    <row r="72" spans="26:26" x14ac:dyDescent="0.45">
      <c r="Z72" s="17">
        <v>5</v>
      </c>
    </row>
    <row r="73" spans="26:26" x14ac:dyDescent="0.45">
      <c r="Z73" s="17">
        <v>4.5</v>
      </c>
    </row>
    <row r="74" spans="26:26" x14ac:dyDescent="0.45">
      <c r="Z74" s="17">
        <v>4</v>
      </c>
    </row>
    <row r="75" spans="26:26" x14ac:dyDescent="0.45">
      <c r="Z75" s="17">
        <v>3.5</v>
      </c>
    </row>
    <row r="76" spans="26:26" x14ac:dyDescent="0.45">
      <c r="Z76" s="17">
        <v>3</v>
      </c>
    </row>
    <row r="77" spans="26:26" x14ac:dyDescent="0.45">
      <c r="Z77" s="17">
        <v>2.5</v>
      </c>
    </row>
    <row r="78" spans="26:26" x14ac:dyDescent="0.45">
      <c r="Z78" s="17">
        <v>2</v>
      </c>
    </row>
    <row r="79" spans="26:26" x14ac:dyDescent="0.45">
      <c r="Z79" s="17">
        <v>1.5</v>
      </c>
    </row>
    <row r="80" spans="26:26" x14ac:dyDescent="0.45">
      <c r="Z80" s="17">
        <v>1</v>
      </c>
    </row>
  </sheetData>
  <sheetProtection sheet="1" selectLockedCells="1"/>
  <mergeCells count="13">
    <mergeCell ref="A44:I44"/>
    <mergeCell ref="A1:I1"/>
    <mergeCell ref="A5:I5"/>
    <mergeCell ref="A7:C7"/>
    <mergeCell ref="F7:H7"/>
    <mergeCell ref="D10:D16"/>
    <mergeCell ref="I10:I16"/>
    <mergeCell ref="D21:D27"/>
    <mergeCell ref="I21:I27"/>
    <mergeCell ref="D32:D38"/>
    <mergeCell ref="I32:I38"/>
    <mergeCell ref="J13:K16"/>
    <mergeCell ref="J24:K27"/>
  </mergeCells>
  <conditionalFormatting sqref="A14:B14">
    <cfRule type="containsBlanks" dxfId="94" priority="96">
      <formula>LEN(TRIM(A14))=0</formula>
    </cfRule>
  </conditionalFormatting>
  <conditionalFormatting sqref="A15:B16">
    <cfRule type="containsBlanks" dxfId="93" priority="53">
      <formula>LEN(TRIM(A15))=0</formula>
    </cfRule>
    <cfRule type="cellIs" dxfId="92" priority="54" operator="lessThan">
      <formula>4</formula>
    </cfRule>
  </conditionalFormatting>
  <conditionalFormatting sqref="A25:B25">
    <cfRule type="containsBlanks" dxfId="91" priority="110">
      <formula>LEN(TRIM(A25))=0</formula>
    </cfRule>
  </conditionalFormatting>
  <conditionalFormatting sqref="A10:C10 F10:H10 F14:G14 A14:C14">
    <cfRule type="cellIs" dxfId="90" priority="108" operator="lessThan">
      <formula>4</formula>
    </cfRule>
  </conditionalFormatting>
  <conditionalFormatting sqref="A11:C12">
    <cfRule type="cellIs" dxfId="89" priority="58" operator="lessThan">
      <formula>4</formula>
    </cfRule>
    <cfRule type="containsBlanks" dxfId="88" priority="57">
      <formula>LEN(TRIM(A11))=0</formula>
    </cfRule>
  </conditionalFormatting>
  <conditionalFormatting sqref="A21:C21">
    <cfRule type="containsBlanks" dxfId="87" priority="117">
      <formula>LEN(TRIM(A21))=0</formula>
    </cfRule>
  </conditionalFormatting>
  <conditionalFormatting sqref="A22:C23">
    <cfRule type="containsBlanks" dxfId="86" priority="39">
      <formula>LEN(TRIM(A22))=0</formula>
    </cfRule>
    <cfRule type="cellIs" dxfId="85" priority="40" operator="lessThan">
      <formula>4</formula>
    </cfRule>
  </conditionalFormatting>
  <conditionalFormatting sqref="A32:C32">
    <cfRule type="containsBlanks" dxfId="84" priority="32">
      <formula>LEN(TRIM(A32))=0</formula>
    </cfRule>
  </conditionalFormatting>
  <conditionalFormatting sqref="A32:C34">
    <cfRule type="cellIs" dxfId="83" priority="37" operator="lessThan">
      <formula>4</formula>
    </cfRule>
  </conditionalFormatting>
  <conditionalFormatting sqref="A33:C34">
    <cfRule type="containsBlanks" dxfId="82" priority="36">
      <formula>LEN(TRIM(A33))=0</formula>
    </cfRule>
  </conditionalFormatting>
  <conditionalFormatting sqref="A46:C46 F46:H46 A50:C50 F50:H50">
    <cfRule type="containsBlanks" dxfId="78" priority="178">
      <formula>LEN(TRIM(A46))=0</formula>
    </cfRule>
  </conditionalFormatting>
  <conditionalFormatting sqref="A46:C48 F46:H48 A50:C52 F50:H52">
    <cfRule type="cellIs" dxfId="77" priority="179" operator="lessThan">
      <formula>4</formula>
    </cfRule>
  </conditionalFormatting>
  <conditionalFormatting sqref="A47:C48 F47:H48 A51:C52 F51:H52">
    <cfRule type="containsBlanks" dxfId="76" priority="177">
      <formula>LEN(TRIM(A47))=0</formula>
    </cfRule>
  </conditionalFormatting>
  <conditionalFormatting sqref="C10">
    <cfRule type="containsBlanks" dxfId="75" priority="103">
      <formula>LEN(TRIM(C10))=0</formula>
    </cfRule>
    <cfRule type="containsBlanks" dxfId="74" priority="102">
      <formula>LEN(TRIM(C10))=0</formula>
    </cfRule>
  </conditionalFormatting>
  <conditionalFormatting sqref="C14:C16 F16:H16">
    <cfRule type="containsBlanks" dxfId="73" priority="91">
      <formula>LEN(TRIM(C14))=0</formula>
    </cfRule>
  </conditionalFormatting>
  <conditionalFormatting sqref="C15:C16 F16:H16">
    <cfRule type="cellIs" dxfId="72" priority="92" operator="lessThan">
      <formula>4</formula>
    </cfRule>
  </conditionalFormatting>
  <conditionalFormatting sqref="C21 A26:C27 F26:H27">
    <cfRule type="containsBlanks" dxfId="71" priority="118">
      <formula>LEN(TRIM(A21))=0</formula>
    </cfRule>
  </conditionalFormatting>
  <conditionalFormatting sqref="C25">
    <cfRule type="containsBlanks" dxfId="70" priority="114">
      <formula>LEN(TRIM(C25))=0</formula>
    </cfRule>
  </conditionalFormatting>
  <conditionalFormatting sqref="C32">
    <cfRule type="containsBlanks" dxfId="69" priority="35">
      <formula>LEN(TRIM(C32))=0</formula>
    </cfRule>
  </conditionalFormatting>
  <conditionalFormatting sqref="D18">
    <cfRule type="cellIs" dxfId="67" priority="8" operator="lessThan">
      <formula>4</formula>
    </cfRule>
  </conditionalFormatting>
  <conditionalFormatting sqref="D29">
    <cfRule type="cellIs" dxfId="66" priority="6" operator="lessThan">
      <formula>4</formula>
    </cfRule>
  </conditionalFormatting>
  <conditionalFormatting sqref="D40">
    <cfRule type="cellIs" dxfId="65" priority="4" operator="lessThan">
      <formula>4</formula>
    </cfRule>
  </conditionalFormatting>
  <conditionalFormatting sqref="D42 I42 D48 I48 D52 I52 D54 I54">
    <cfRule type="cellIs" dxfId="64" priority="180" operator="lessThan">
      <formula>4</formula>
    </cfRule>
  </conditionalFormatting>
  <conditionalFormatting sqref="F14:G14">
    <cfRule type="containsBlanks" dxfId="63" priority="97">
      <formula>LEN(TRIM(F14))=0</formula>
    </cfRule>
  </conditionalFormatting>
  <conditionalFormatting sqref="F15:G15">
    <cfRule type="cellIs" dxfId="62" priority="48" operator="lessThan">
      <formula>4</formula>
    </cfRule>
    <cfRule type="containsBlanks" dxfId="61" priority="47">
      <formula>LEN(TRIM(F15))=0</formula>
    </cfRule>
  </conditionalFormatting>
  <conditionalFormatting sqref="F21:G21">
    <cfRule type="containsBlanks" dxfId="60" priority="119">
      <formula>LEN(TRIM(F21))=0</formula>
    </cfRule>
  </conditionalFormatting>
  <conditionalFormatting sqref="F10:H10 A10:C10">
    <cfRule type="containsBlanks" dxfId="59" priority="107">
      <formula>LEN(TRIM(A10))=0</formula>
    </cfRule>
  </conditionalFormatting>
  <conditionalFormatting sqref="F10:H10">
    <cfRule type="containsBlanks" dxfId="58" priority="98">
      <formula>LEN(TRIM(F10))=0</formula>
    </cfRule>
    <cfRule type="containsBlanks" dxfId="57" priority="106">
      <formula>LEN(TRIM(F10))=0</formula>
    </cfRule>
  </conditionalFormatting>
  <conditionalFormatting sqref="F11:H12">
    <cfRule type="containsBlanks" dxfId="56" priority="59">
      <formula>LEN(TRIM(F11))=0</formula>
    </cfRule>
    <cfRule type="cellIs" dxfId="55" priority="61" operator="lessThan">
      <formula>4</formula>
    </cfRule>
  </conditionalFormatting>
  <conditionalFormatting sqref="F21:H21 A21:C21 A25:C27 F25:H27">
    <cfRule type="cellIs" dxfId="54" priority="120" operator="lessThan">
      <formula>4</formula>
    </cfRule>
  </conditionalFormatting>
  <conditionalFormatting sqref="F21:H21">
    <cfRule type="containsBlanks" dxfId="53" priority="76">
      <formula>LEN(TRIM(F21))=0</formula>
    </cfRule>
    <cfRule type="containsBlanks" dxfId="52" priority="116">
      <formula>LEN(TRIM(F21))=0</formula>
    </cfRule>
  </conditionalFormatting>
  <conditionalFormatting sqref="F22:H23">
    <cfRule type="containsBlanks" dxfId="51" priority="43">
      <formula>LEN(TRIM(F22))=0</formula>
    </cfRule>
    <cfRule type="cellIs" dxfId="50" priority="44" operator="lessThan">
      <formula>4</formula>
    </cfRule>
  </conditionalFormatting>
  <conditionalFormatting sqref="F25:H25">
    <cfRule type="containsBlanks" dxfId="49" priority="112">
      <formula>LEN(TRIM(F25))=0</formula>
    </cfRule>
  </conditionalFormatting>
  <conditionalFormatting sqref="F36:H36">
    <cfRule type="cellIs" dxfId="47" priority="21" operator="lessThan">
      <formula>4</formula>
    </cfRule>
    <cfRule type="containsBlanks" dxfId="46" priority="20">
      <formula>LEN(TRIM(F36))=0</formula>
    </cfRule>
  </conditionalFormatting>
  <conditionalFormatting sqref="F37:H38">
    <cfRule type="cellIs" dxfId="45" priority="25" operator="lessThan">
      <formula>4</formula>
    </cfRule>
    <cfRule type="containsBlanks" dxfId="44" priority="24">
      <formula>LEN(TRIM(F37))=0</formula>
    </cfRule>
  </conditionalFormatting>
  <conditionalFormatting sqref="H14:H15">
    <cfRule type="cellIs" dxfId="43" priority="46" operator="lessThan">
      <formula>4</formula>
    </cfRule>
    <cfRule type="containsBlanks" dxfId="42" priority="45">
      <formula>LEN(TRIM(H14))=0</formula>
    </cfRule>
  </conditionalFormatting>
  <conditionalFormatting sqref="H25:H26">
    <cfRule type="containsBlanks" dxfId="41" priority="111">
      <formula>LEN(TRIM(H25))=0</formula>
    </cfRule>
  </conditionalFormatting>
  <conditionalFormatting sqref="H3529">
    <cfRule type="cellIs" dxfId="39" priority="181" operator="lessThan">
      <formula>4</formula>
    </cfRule>
  </conditionalFormatting>
  <conditionalFormatting sqref="I18">
    <cfRule type="cellIs" dxfId="38" priority="7" operator="lessThan">
      <formula>4</formula>
    </cfRule>
  </conditionalFormatting>
  <conditionalFormatting sqref="I29">
    <cfRule type="cellIs" dxfId="37" priority="5" operator="lessThan">
      <formula>4</formula>
    </cfRule>
  </conditionalFormatting>
  <conditionalFormatting sqref="I40">
    <cfRule type="cellIs" dxfId="36" priority="3" operator="lessThan">
      <formula>4</formula>
    </cfRule>
  </conditionalFormatting>
  <conditionalFormatting sqref="J13:K16">
    <cfRule type="expression" dxfId="35" priority="2">
      <formula>$J$13&lt;&gt;""</formula>
    </cfRule>
  </conditionalFormatting>
  <conditionalFormatting sqref="J24:K27">
    <cfRule type="expression" dxfId="34" priority="1">
      <formula>$J$24&lt;&gt;""</formula>
    </cfRule>
  </conditionalFormatting>
  <conditionalFormatting sqref="J31:K38">
    <cfRule type="expression" dxfId="33" priority="185">
      <formula>#REF!&lt;&gt;""</formula>
    </cfRule>
  </conditionalFormatting>
  <dataValidations count="1">
    <dataValidation type="list" allowBlank="1" showErrorMessage="1" errorTitle="ERREUR" error="Valeur des notes uniquement entre 1 et 6 par saut de 0.5." sqref="A46:C48 F36:H38 A14:C16 F46:H48 A25:C27 A21:C23 F21:H23 F10:H12 F25:H27 F14:H16 A32:C34 A10:C12 F50:H52 A50:C52" xr:uid="{8138182A-CF6F-46C2-B3C2-FEBDE01ED0D5}">
      <formula1>$Z$70:$Z$80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E34D-5599-494B-B9C5-C1E68C93A225}">
  <dimension ref="A1:Z58"/>
  <sheetViews>
    <sheetView showGridLines="0" zoomScaleNormal="100" workbookViewId="0">
      <selection activeCell="A10" sqref="A10"/>
    </sheetView>
  </sheetViews>
  <sheetFormatPr baseColWidth="10" defaultColWidth="11.3984375" defaultRowHeight="14.25" x14ac:dyDescent="0.45"/>
  <cols>
    <col min="1" max="9" width="8.73046875" customWidth="1"/>
    <col min="26" max="26" width="11.59765625" style="17"/>
  </cols>
  <sheetData>
    <row r="1" spans="1:26" ht="45" customHeight="1" x14ac:dyDescent="0.45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3" spans="1:26" s="5" customFormat="1" ht="25.15" customHeight="1" x14ac:dyDescent="0.45">
      <c r="A3" s="4" t="s">
        <v>1</v>
      </c>
      <c r="D3" s="11"/>
      <c r="E3" s="10"/>
      <c r="F3" s="10"/>
      <c r="G3" s="10"/>
      <c r="H3" s="10"/>
      <c r="I3" s="10"/>
    </row>
    <row r="5" spans="1:26" ht="30" customHeight="1" x14ac:dyDescent="0.45">
      <c r="A5" s="22" t="s">
        <v>2</v>
      </c>
      <c r="B5" s="22"/>
      <c r="C5" s="22"/>
      <c r="D5" s="22"/>
      <c r="E5" s="22"/>
      <c r="F5" s="22"/>
      <c r="G5" s="22"/>
      <c r="H5" s="22"/>
      <c r="I5" s="22"/>
    </row>
    <row r="7" spans="1:26" x14ac:dyDescent="0.45">
      <c r="A7" s="24" t="s">
        <v>15</v>
      </c>
      <c r="B7" s="24"/>
      <c r="C7" s="24"/>
      <c r="D7" s="8" t="s">
        <v>4</v>
      </c>
      <c r="E7" s="9"/>
      <c r="F7" s="24" t="s">
        <v>16</v>
      </c>
      <c r="G7" s="24"/>
      <c r="H7" s="24"/>
      <c r="I7" s="8" t="s">
        <v>4</v>
      </c>
    </row>
    <row r="9" spans="1:26" x14ac:dyDescent="0.45">
      <c r="A9" s="2" t="s">
        <v>38</v>
      </c>
      <c r="B9" s="2"/>
      <c r="C9" s="2"/>
      <c r="D9" s="25" t="s">
        <v>25</v>
      </c>
      <c r="E9" s="2"/>
      <c r="F9" s="2" t="s">
        <v>38</v>
      </c>
      <c r="G9" s="2"/>
      <c r="H9" s="2"/>
      <c r="I9" s="25" t="s">
        <v>25</v>
      </c>
    </row>
    <row r="10" spans="1:26" ht="14.25" customHeight="1" x14ac:dyDescent="0.45">
      <c r="A10" s="16"/>
      <c r="B10" s="16"/>
      <c r="C10" s="16"/>
      <c r="D10" s="25"/>
      <c r="E10" s="3"/>
      <c r="F10" s="16"/>
      <c r="G10" s="16"/>
      <c r="H10" s="16"/>
      <c r="I10" s="25"/>
    </row>
    <row r="11" spans="1:26" x14ac:dyDescent="0.45">
      <c r="A11" s="14"/>
      <c r="B11" s="14"/>
      <c r="C11" s="14"/>
      <c r="D11" s="25"/>
      <c r="E11" s="3"/>
      <c r="F11" s="14"/>
      <c r="G11" s="14"/>
      <c r="H11" s="14"/>
      <c r="I11" s="25"/>
    </row>
    <row r="12" spans="1:26" x14ac:dyDescent="0.45">
      <c r="A12" s="14"/>
      <c r="B12" s="14"/>
      <c r="C12" s="14"/>
      <c r="D12" s="25"/>
      <c r="E12" s="3"/>
      <c r="F12" s="14"/>
      <c r="G12" s="14"/>
      <c r="H12" s="14"/>
      <c r="I12" s="25"/>
    </row>
    <row r="13" spans="1:26" ht="15" customHeight="1" thickBot="1" x14ac:dyDescent="0.7">
      <c r="Z13" s="18"/>
    </row>
    <row r="14" spans="1:26" ht="15" customHeight="1" thickBot="1" x14ac:dyDescent="0.7">
      <c r="A14" s="2" t="s">
        <v>54</v>
      </c>
      <c r="D14" s="6" t="str">
        <f>IF(ISERROR(AVERAGE(DCOBS5)),"",MROUND(AVERAGE(DCOBS5),0.5))</f>
        <v/>
      </c>
      <c r="F14" s="2" t="s">
        <v>55</v>
      </c>
      <c r="I14" s="6" t="str">
        <f>IF(ISERROR(AVERAGE(DCOBS6)),"",MROUND(AVERAGE(DCOBS6),0.5))</f>
        <v/>
      </c>
      <c r="Z14" s="18"/>
    </row>
    <row r="15" spans="1:26" ht="15" customHeight="1" x14ac:dyDescent="0.65">
      <c r="Z15" s="18"/>
    </row>
    <row r="16" spans="1:26" x14ac:dyDescent="0.45">
      <c r="A16" s="2" t="s">
        <v>39</v>
      </c>
      <c r="D16" s="25" t="s">
        <v>35</v>
      </c>
      <c r="E16" s="2"/>
      <c r="F16" s="2" t="s">
        <v>39</v>
      </c>
      <c r="I16" s="25" t="s">
        <v>35</v>
      </c>
    </row>
    <row r="17" spans="1:26" x14ac:dyDescent="0.45">
      <c r="A17" s="16"/>
      <c r="B17" s="16"/>
      <c r="C17" s="16"/>
      <c r="D17" s="25"/>
      <c r="E17" s="3"/>
      <c r="F17" s="16"/>
      <c r="G17" s="16"/>
      <c r="H17" s="16"/>
      <c r="I17" s="25"/>
    </row>
    <row r="18" spans="1:26" x14ac:dyDescent="0.45">
      <c r="A18" s="14"/>
      <c r="B18" s="14"/>
      <c r="C18" s="14"/>
      <c r="D18" s="25"/>
      <c r="E18" s="3"/>
      <c r="F18" s="14"/>
      <c r="G18" s="14"/>
      <c r="H18" s="14"/>
      <c r="I18" s="25"/>
    </row>
    <row r="19" spans="1:26" x14ac:dyDescent="0.45">
      <c r="A19" s="14"/>
      <c r="B19" s="14"/>
      <c r="C19" s="14"/>
      <c r="D19" s="25"/>
      <c r="E19" s="3"/>
      <c r="F19" s="14"/>
      <c r="G19" s="14"/>
      <c r="H19" s="14"/>
      <c r="I19" s="25"/>
    </row>
    <row r="20" spans="1:26" ht="15" customHeight="1" thickBot="1" x14ac:dyDescent="0.7">
      <c r="Z20" s="18"/>
    </row>
    <row r="21" spans="1:26" ht="15" customHeight="1" thickBot="1" x14ac:dyDescent="0.7">
      <c r="A21" s="2" t="s">
        <v>56</v>
      </c>
      <c r="D21" s="6" t="str">
        <f>IF(ISERROR(AVERAGE(DCODS5)),"",MROUND(AVERAGE(DCODS5),0.5))</f>
        <v/>
      </c>
      <c r="F21" s="2" t="s">
        <v>57</v>
      </c>
      <c r="I21" s="6" t="str">
        <f>IF(ISERROR(AVERAGE(DCODS6)),"",MROUND(AVERAGE(DCODS6),0.5))</f>
        <v/>
      </c>
      <c r="Z21" s="18"/>
    </row>
    <row r="22" spans="1:26" ht="15" customHeight="1" thickBot="1" x14ac:dyDescent="0.7">
      <c r="Z22" s="18"/>
    </row>
    <row r="23" spans="1:26" ht="15" thickTop="1" thickBot="1" x14ac:dyDescent="0.5">
      <c r="A23" s="2" t="s">
        <v>6</v>
      </c>
      <c r="B23" s="2"/>
      <c r="C23" s="2"/>
      <c r="D23" s="7" t="str">
        <f>IF(ISERROR(AVERAGE(DCOBS5MOY,DCODS5MOY)),"",MROUND(AVERAGE(DCOBS5MOY,DCODS5MOY),0.5))</f>
        <v/>
      </c>
      <c r="E23" s="2"/>
      <c r="F23" s="2" t="s">
        <v>6</v>
      </c>
      <c r="G23" s="2"/>
      <c r="H23" s="2"/>
      <c r="I23" s="7" t="str">
        <f>IF(ISERROR(AVERAGE(DCOBS6MOY,DCODS6MOY)),"",MROUND(AVERAGE(DCOBS6MOY,DCODS6MOY),0.5))</f>
        <v/>
      </c>
    </row>
    <row r="24" spans="1:26" ht="14.65" thickTop="1" x14ac:dyDescent="0.45"/>
    <row r="25" spans="1:26" s="1" customFormat="1" ht="30" customHeight="1" x14ac:dyDescent="0.65">
      <c r="A25" s="22" t="s">
        <v>7</v>
      </c>
      <c r="B25" s="22"/>
      <c r="C25" s="22"/>
      <c r="D25" s="22"/>
      <c r="E25" s="22"/>
      <c r="F25" s="22"/>
      <c r="G25" s="22"/>
      <c r="H25" s="22"/>
      <c r="I25" s="22"/>
      <c r="Z25" s="17"/>
    </row>
    <row r="26" spans="1:26" x14ac:dyDescent="0.45">
      <c r="A26" s="2" t="s">
        <v>8</v>
      </c>
      <c r="B26" s="2"/>
      <c r="C26" s="2"/>
      <c r="D26" s="2"/>
      <c r="E26" s="2"/>
      <c r="F26" s="2" t="s">
        <v>8</v>
      </c>
      <c r="G26" s="2"/>
      <c r="H26" s="2"/>
      <c r="I26" s="2"/>
    </row>
    <row r="27" spans="1:26" x14ac:dyDescent="0.45">
      <c r="A27" s="16"/>
      <c r="B27" s="16"/>
      <c r="C27" s="16"/>
      <c r="D27" s="3"/>
      <c r="E27" s="3"/>
      <c r="F27" s="16"/>
      <c r="G27" s="16"/>
      <c r="H27" s="16"/>
      <c r="I27" s="3"/>
    </row>
    <row r="28" spans="1:26" ht="14.65" thickBot="1" x14ac:dyDescent="0.5">
      <c r="A28" s="14"/>
      <c r="B28" s="14"/>
      <c r="C28" s="14"/>
      <c r="D28" s="3"/>
      <c r="E28" s="3"/>
      <c r="F28" s="14"/>
      <c r="G28" s="14"/>
      <c r="H28" s="14"/>
      <c r="I28" s="3"/>
    </row>
    <row r="29" spans="1:26" ht="14.65" thickBot="1" x14ac:dyDescent="0.5">
      <c r="A29" s="14"/>
      <c r="B29" s="14"/>
      <c r="C29" s="14"/>
      <c r="D29" s="6" t="str">
        <f>IF(ISERROR(AVERAGE(ECGLCS5)),"",MROUND(AVERAGE(ECGLCS5),0.5))</f>
        <v/>
      </c>
      <c r="E29" s="3"/>
      <c r="F29" s="14"/>
      <c r="G29" s="14"/>
      <c r="H29" s="14"/>
      <c r="I29" s="6" t="str">
        <f>IF(ISERROR(AVERAGE(ECGLCS6)),"",MROUND(AVERAGE(ECGLCS6),0.5))</f>
        <v/>
      </c>
    </row>
    <row r="30" spans="1:26" x14ac:dyDescent="0.45">
      <c r="A30" s="2" t="s">
        <v>9</v>
      </c>
      <c r="B30" s="2"/>
      <c r="C30" s="2"/>
      <c r="D30" s="2"/>
      <c r="E30" s="2"/>
      <c r="F30" s="2" t="s">
        <v>9</v>
      </c>
      <c r="G30" s="2"/>
      <c r="H30" s="2"/>
      <c r="I30" s="2"/>
    </row>
    <row r="31" spans="1:26" x14ac:dyDescent="0.45">
      <c r="A31" s="16"/>
      <c r="B31" s="16"/>
      <c r="C31" s="16"/>
      <c r="D31" s="3"/>
      <c r="E31" s="3"/>
      <c r="F31" s="16"/>
      <c r="G31" s="16"/>
      <c r="H31" s="16"/>
      <c r="I31" s="3"/>
    </row>
    <row r="32" spans="1:26" ht="14.65" thickBot="1" x14ac:dyDescent="0.5">
      <c r="A32" s="14"/>
      <c r="B32" s="14"/>
      <c r="C32" s="14"/>
      <c r="D32" s="3"/>
      <c r="E32" s="3"/>
      <c r="F32" s="14"/>
      <c r="G32" s="14"/>
      <c r="H32" s="14"/>
      <c r="I32" s="3"/>
    </row>
    <row r="33" spans="1:26" ht="14.65" thickBot="1" x14ac:dyDescent="0.5">
      <c r="A33" s="14"/>
      <c r="B33" s="14"/>
      <c r="C33" s="14"/>
      <c r="D33" s="6" t="str">
        <f>IF(ISERROR(AVERAGE(ECGSOS5)),"",MROUND(AVERAGE(ECGSOS5),0.5))</f>
        <v/>
      </c>
      <c r="E33" s="3"/>
      <c r="F33" s="14"/>
      <c r="G33" s="14"/>
      <c r="H33" s="14"/>
      <c r="I33" s="6" t="str">
        <f>IF(ISERROR(AVERAGE(ECGSOS6)),"",MROUND(AVERAGE(ECGSOS6),0.5))</f>
        <v/>
      </c>
    </row>
    <row r="34" spans="1:26" ht="14.65" thickBot="1" x14ac:dyDescent="0.5">
      <c r="A34" s="2"/>
      <c r="B34" s="2"/>
      <c r="C34" s="2"/>
      <c r="D34" s="2"/>
      <c r="E34" s="2"/>
      <c r="F34" s="2"/>
      <c r="G34" s="2"/>
      <c r="H34" s="2"/>
      <c r="I34" s="2"/>
    </row>
    <row r="35" spans="1:26" ht="15" thickTop="1" thickBot="1" x14ac:dyDescent="0.5">
      <c r="A35" s="2" t="s">
        <v>10</v>
      </c>
      <c r="B35" s="2"/>
      <c r="C35" s="2"/>
      <c r="D35" s="7" t="str">
        <f>IF(ISERROR(AVERAGE(ECGLCS5MOY,ECGSOS5MOY)),"",MROUND(AVERAGE(ECGLCS5MOY,ECGSOS5MOY),0.5))</f>
        <v/>
      </c>
      <c r="E35" s="2"/>
      <c r="F35" s="2" t="s">
        <v>10</v>
      </c>
      <c r="G35" s="2"/>
      <c r="H35" s="2"/>
      <c r="I35" s="7" t="str">
        <f>IF(ISERROR(AVERAGE(ECGLCS6MOY,ECGSOS6MOY)),"",MROUND(AVERAGE(ECGLCS6MOY,ECGSOS6MOY),0.5))</f>
        <v/>
      </c>
    </row>
    <row r="36" spans="1:26" ht="14.65" thickTop="1" x14ac:dyDescent="0.45"/>
    <row r="38" spans="1:26" x14ac:dyDescent="0.45">
      <c r="A38" s="2" t="s">
        <v>11</v>
      </c>
    </row>
    <row r="39" spans="1:26" x14ac:dyDescent="0.45">
      <c r="A39" s="2" t="s">
        <v>12</v>
      </c>
    </row>
    <row r="48" spans="1:26" x14ac:dyDescent="0.45">
      <c r="Z48" s="17">
        <v>6</v>
      </c>
    </row>
    <row r="49" spans="26:26" x14ac:dyDescent="0.45">
      <c r="Z49" s="17">
        <v>5.5</v>
      </c>
    </row>
    <row r="50" spans="26:26" x14ac:dyDescent="0.45">
      <c r="Z50" s="17">
        <v>5</v>
      </c>
    </row>
    <row r="51" spans="26:26" x14ac:dyDescent="0.45">
      <c r="Z51" s="17">
        <v>4.5</v>
      </c>
    </row>
    <row r="52" spans="26:26" x14ac:dyDescent="0.45">
      <c r="Z52" s="17">
        <v>4</v>
      </c>
    </row>
    <row r="53" spans="26:26" x14ac:dyDescent="0.45">
      <c r="Z53" s="17">
        <v>3.5</v>
      </c>
    </row>
    <row r="54" spans="26:26" x14ac:dyDescent="0.45">
      <c r="Z54" s="17">
        <v>3</v>
      </c>
    </row>
    <row r="55" spans="26:26" x14ac:dyDescent="0.45">
      <c r="Z55" s="17">
        <v>2.5</v>
      </c>
    </row>
    <row r="56" spans="26:26" x14ac:dyDescent="0.45">
      <c r="Z56" s="17">
        <v>2</v>
      </c>
    </row>
    <row r="57" spans="26:26" x14ac:dyDescent="0.45">
      <c r="Z57" s="17">
        <v>1.5</v>
      </c>
    </row>
    <row r="58" spans="26:26" x14ac:dyDescent="0.45">
      <c r="Z58" s="17">
        <v>1</v>
      </c>
    </row>
  </sheetData>
  <sheetProtection sheet="1" selectLockedCells="1"/>
  <mergeCells count="9">
    <mergeCell ref="A25:I25"/>
    <mergeCell ref="A7:C7"/>
    <mergeCell ref="F7:H7"/>
    <mergeCell ref="A5:I5"/>
    <mergeCell ref="A1:I1"/>
    <mergeCell ref="D9:D12"/>
    <mergeCell ref="I9:I12"/>
    <mergeCell ref="D16:D19"/>
    <mergeCell ref="I16:I19"/>
  </mergeCells>
  <conditionalFormatting sqref="A11:B11">
    <cfRule type="containsBlanks" dxfId="32" priority="7">
      <formula>LEN(TRIM(A11))=0</formula>
    </cfRule>
  </conditionalFormatting>
  <conditionalFormatting sqref="A10:C12 F10:H12 A17:C19 F17:H19 A27:C29 F27:H29 A31:C33 F31:H33">
    <cfRule type="cellIs" dxfId="31" priority="13" operator="lessThan">
      <formula>4</formula>
    </cfRule>
  </conditionalFormatting>
  <conditionalFormatting sqref="C10">
    <cfRule type="containsBlanks" dxfId="30" priority="10">
      <formula>LEN(TRIM(C10))=0</formula>
    </cfRule>
  </conditionalFormatting>
  <conditionalFormatting sqref="C10:C11 H10:H11 F11:F12 A12:C12 G12:H12 A18:C19 F18:H19 A28:C29 F28:H29 A32:C33 F32:H33">
    <cfRule type="containsBlanks" dxfId="29" priority="11">
      <formula>LEN(TRIM(A10))=0</formula>
    </cfRule>
  </conditionalFormatting>
  <conditionalFormatting sqref="D14">
    <cfRule type="cellIs" dxfId="28" priority="5" operator="lessThan">
      <formula>4</formula>
    </cfRule>
  </conditionalFormatting>
  <conditionalFormatting sqref="D21">
    <cfRule type="cellIs" dxfId="27" priority="3" operator="lessThan">
      <formula>4</formula>
    </cfRule>
  </conditionalFormatting>
  <conditionalFormatting sqref="D23 I23 D29 I29 D33 I33 D35 I35">
    <cfRule type="cellIs" dxfId="26" priority="15" operator="lessThan">
      <formula>4</formula>
    </cfRule>
  </conditionalFormatting>
  <conditionalFormatting sqref="F10:G11 A10:B11 A17:C17 F17:H17 A27:C27 F27:H27 A31:C31 F31:H31">
    <cfRule type="containsBlanks" dxfId="25" priority="12">
      <formula>LEN(TRIM(A10))=0</formula>
    </cfRule>
  </conditionalFormatting>
  <conditionalFormatting sqref="G11">
    <cfRule type="containsBlanks" dxfId="24" priority="6">
      <formula>LEN(TRIM(G11))=0</formula>
    </cfRule>
  </conditionalFormatting>
  <conditionalFormatting sqref="H10">
    <cfRule type="containsBlanks" dxfId="23" priority="9">
      <formula>LEN(TRIM(H10))=0</formula>
    </cfRule>
  </conditionalFormatting>
  <conditionalFormatting sqref="H3510">
    <cfRule type="cellIs" dxfId="22" priority="25" operator="lessThan">
      <formula>4</formula>
    </cfRule>
  </conditionalFormatting>
  <conditionalFormatting sqref="I14">
    <cfRule type="cellIs" dxfId="21" priority="1" operator="lessThan">
      <formula>4</formula>
    </cfRule>
  </conditionalFormatting>
  <conditionalFormatting sqref="I21">
    <cfRule type="cellIs" dxfId="20" priority="2" operator="lessThan">
      <formula>4</formula>
    </cfRule>
  </conditionalFormatting>
  <dataValidations count="1">
    <dataValidation type="list" allowBlank="1" showErrorMessage="1" errorTitle="ERREUR" error="Valeur des notes uniquement entre 1 et 6 par saut de 0.5." sqref="F31:H33 A17:C19 A31:C33 F27:H29 A27:C29 F10:H12 F17:H19 A10:C12" xr:uid="{7473B169-7471-4094-ABCF-022BF41344D5}">
      <formula1>$Z$48:$Z$58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6753-DBC6-4D2E-892F-808D8AC5D537}">
  <dimension ref="A1:Z58"/>
  <sheetViews>
    <sheetView showGridLines="0" zoomScaleNormal="100" workbookViewId="0">
      <selection activeCell="D3" sqref="D3"/>
    </sheetView>
  </sheetViews>
  <sheetFormatPr baseColWidth="10" defaultColWidth="11.3984375" defaultRowHeight="14.25" x14ac:dyDescent="0.45"/>
  <cols>
    <col min="1" max="9" width="8.73046875" customWidth="1"/>
    <col min="26" max="26" width="11.59765625" style="15"/>
  </cols>
  <sheetData>
    <row r="1" spans="1:26" ht="45" customHeight="1" x14ac:dyDescent="0.45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3" spans="1:26" s="5" customFormat="1" ht="25.15" customHeight="1" x14ac:dyDescent="0.45">
      <c r="A3" s="4" t="s">
        <v>1</v>
      </c>
      <c r="D3" s="11"/>
      <c r="E3" s="10"/>
      <c r="F3" s="10"/>
      <c r="G3" s="10"/>
      <c r="H3" s="10"/>
      <c r="I3" s="10"/>
    </row>
    <row r="5" spans="1:26" ht="30" customHeight="1" x14ac:dyDescent="0.45">
      <c r="A5" s="22" t="s">
        <v>2</v>
      </c>
      <c r="B5" s="22"/>
      <c r="C5" s="22"/>
      <c r="D5" s="22"/>
      <c r="E5" s="22"/>
      <c r="F5" s="22"/>
      <c r="G5" s="22"/>
      <c r="H5" s="22"/>
      <c r="I5" s="22"/>
    </row>
    <row r="7" spans="1:26" x14ac:dyDescent="0.45">
      <c r="A7" s="24" t="s">
        <v>17</v>
      </c>
      <c r="B7" s="24"/>
      <c r="C7" s="24"/>
      <c r="D7" s="8" t="s">
        <v>4</v>
      </c>
      <c r="E7" s="9"/>
      <c r="F7" s="24" t="s">
        <v>18</v>
      </c>
      <c r="G7" s="24"/>
      <c r="H7" s="24"/>
      <c r="I7" s="8" t="s">
        <v>4</v>
      </c>
    </row>
    <row r="9" spans="1:26" x14ac:dyDescent="0.45">
      <c r="A9" s="2" t="s">
        <v>41</v>
      </c>
      <c r="B9" s="2"/>
      <c r="C9" s="2"/>
      <c r="D9" s="25" t="s">
        <v>25</v>
      </c>
      <c r="E9" s="2"/>
      <c r="F9" s="2" t="s">
        <v>41</v>
      </c>
      <c r="G9" s="2"/>
      <c r="H9" s="2"/>
      <c r="I9" s="25" t="s">
        <v>25</v>
      </c>
    </row>
    <row r="10" spans="1:26" x14ac:dyDescent="0.45">
      <c r="A10" s="16"/>
      <c r="B10" s="16"/>
      <c r="C10" s="16"/>
      <c r="D10" s="25"/>
      <c r="E10" s="3"/>
      <c r="F10" s="16"/>
      <c r="G10" s="16"/>
      <c r="H10" s="16"/>
      <c r="I10" s="25"/>
    </row>
    <row r="11" spans="1:26" x14ac:dyDescent="0.45">
      <c r="A11" s="14"/>
      <c r="B11" s="14"/>
      <c r="C11" s="14"/>
      <c r="D11" s="25"/>
      <c r="E11" s="3"/>
      <c r="F11" s="14"/>
      <c r="G11" s="14"/>
      <c r="H11" s="14"/>
      <c r="I11" s="25"/>
    </row>
    <row r="12" spans="1:26" x14ac:dyDescent="0.45">
      <c r="A12" s="14"/>
      <c r="B12" s="14"/>
      <c r="C12" s="14"/>
      <c r="D12" s="25"/>
      <c r="E12" s="3"/>
      <c r="F12" s="14"/>
      <c r="G12" s="14"/>
      <c r="H12" s="14"/>
      <c r="I12" s="25"/>
    </row>
    <row r="13" spans="1:26" ht="15" customHeight="1" thickBot="1" x14ac:dyDescent="0.7">
      <c r="Z13" s="18"/>
    </row>
    <row r="14" spans="1:26" ht="15" customHeight="1" thickBot="1" x14ac:dyDescent="0.7">
      <c r="A14" s="2" t="s">
        <v>58</v>
      </c>
      <c r="D14" s="6" t="str">
        <f>IF(ISERROR(AVERAGE(DCOBS7)),"",MROUND(AVERAGE(DCOBS7),0.5))</f>
        <v/>
      </c>
      <c r="F14" s="2" t="s">
        <v>59</v>
      </c>
      <c r="I14" s="6" t="str">
        <f>IF(ISERROR(AVERAGE(DCOBS6)),"",MROUND(AVERAGE(DCOBS6),0.5))</f>
        <v/>
      </c>
      <c r="Z14" s="18"/>
    </row>
    <row r="15" spans="1:26" ht="15" customHeight="1" x14ac:dyDescent="0.65">
      <c r="Z15" s="18"/>
    </row>
    <row r="16" spans="1:26" x14ac:dyDescent="0.45">
      <c r="A16" s="2" t="s">
        <v>40</v>
      </c>
      <c r="D16" s="25" t="s">
        <v>35</v>
      </c>
      <c r="F16" s="2" t="s">
        <v>40</v>
      </c>
      <c r="I16" s="25" t="s">
        <v>35</v>
      </c>
    </row>
    <row r="17" spans="1:26" x14ac:dyDescent="0.45">
      <c r="A17" s="16"/>
      <c r="B17" s="16"/>
      <c r="C17" s="16"/>
      <c r="D17" s="25"/>
      <c r="E17" s="3"/>
      <c r="F17" s="16"/>
      <c r="G17" s="16"/>
      <c r="H17" s="13"/>
      <c r="I17" s="25"/>
    </row>
    <row r="18" spans="1:26" x14ac:dyDescent="0.45">
      <c r="A18" s="14"/>
      <c r="B18" s="14"/>
      <c r="C18" s="14"/>
      <c r="D18" s="25"/>
      <c r="E18" s="3"/>
      <c r="F18" s="14"/>
      <c r="G18" s="14"/>
      <c r="H18" s="14"/>
      <c r="I18" s="25"/>
    </row>
    <row r="19" spans="1:26" x14ac:dyDescent="0.45">
      <c r="A19" s="14"/>
      <c r="B19" s="14"/>
      <c r="C19" s="14"/>
      <c r="D19" s="25"/>
      <c r="E19" s="3"/>
      <c r="F19" s="14"/>
      <c r="G19" s="14"/>
      <c r="H19" s="14"/>
      <c r="I19" s="25"/>
    </row>
    <row r="20" spans="1:26" ht="15" customHeight="1" thickBot="1" x14ac:dyDescent="0.7">
      <c r="Z20" s="18"/>
    </row>
    <row r="21" spans="1:26" ht="15" customHeight="1" thickBot="1" x14ac:dyDescent="0.7">
      <c r="A21" s="2" t="s">
        <v>60</v>
      </c>
      <c r="D21" s="6" t="str">
        <f>IF(ISERROR(AVERAGE(DCODS7)),"",MROUND(AVERAGE(DCODS7),0.5))</f>
        <v/>
      </c>
      <c r="F21" s="2" t="s">
        <v>61</v>
      </c>
      <c r="I21" s="6" t="str">
        <f>IF(ISERROR(AVERAGE(DCODS8)),"",MROUND(AVERAGE(DCODS8),0.5))</f>
        <v/>
      </c>
      <c r="Z21" s="18"/>
    </row>
    <row r="22" spans="1:26" ht="14.65" thickBot="1" x14ac:dyDescent="0.5">
      <c r="A22" s="2"/>
      <c r="B22" s="2"/>
      <c r="C22" s="2"/>
      <c r="D22" s="2"/>
      <c r="E22" s="2"/>
      <c r="F22" s="2"/>
      <c r="G22" s="2"/>
      <c r="H22" s="2"/>
      <c r="I22" s="2"/>
    </row>
    <row r="23" spans="1:26" ht="15" thickTop="1" thickBot="1" x14ac:dyDescent="0.5">
      <c r="A23" s="2" t="s">
        <v>6</v>
      </c>
      <c r="B23" s="2"/>
      <c r="C23" s="2"/>
      <c r="D23" s="7" t="str">
        <f>IF(ISERROR(AVERAGE(DCOBS7MOY,DCODS7MOY)),"",MROUND(AVERAGE(DCOBS7MOY,DCODS7MOY),0.5))</f>
        <v/>
      </c>
      <c r="E23" s="2"/>
      <c r="F23" s="2" t="s">
        <v>6</v>
      </c>
      <c r="G23" s="2"/>
      <c r="H23" s="2"/>
      <c r="I23" s="7" t="str">
        <f>IF(ISERROR(AVERAGE(DCOBS8MOY,DCODS8MOY)),"",MROUND(AVERAGE(DCOBS8MOY,DCODS8MOY),0.5))</f>
        <v/>
      </c>
    </row>
    <row r="24" spans="1:26" ht="14.65" thickTop="1" x14ac:dyDescent="0.45"/>
    <row r="25" spans="1:26" s="1" customFormat="1" ht="30" customHeight="1" x14ac:dyDescent="0.65">
      <c r="A25" s="22" t="s">
        <v>7</v>
      </c>
      <c r="B25" s="22"/>
      <c r="C25" s="22"/>
      <c r="D25" s="22"/>
      <c r="E25" s="22"/>
      <c r="F25" s="22"/>
      <c r="G25" s="22"/>
      <c r="H25" s="22"/>
      <c r="I25" s="22"/>
      <c r="Z25" s="15"/>
    </row>
    <row r="26" spans="1:26" x14ac:dyDescent="0.45">
      <c r="A26" s="2" t="s">
        <v>8</v>
      </c>
      <c r="B26" s="2"/>
      <c r="C26" s="2"/>
      <c r="D26" s="2"/>
      <c r="E26" s="2"/>
      <c r="F26" s="2" t="s">
        <v>8</v>
      </c>
      <c r="G26" s="2"/>
      <c r="H26" s="2"/>
      <c r="I26" s="2"/>
    </row>
    <row r="27" spans="1:26" x14ac:dyDescent="0.45">
      <c r="A27" s="16"/>
      <c r="B27" s="16"/>
      <c r="C27" s="16"/>
      <c r="D27" s="3"/>
      <c r="E27" s="3"/>
      <c r="F27" s="16"/>
      <c r="G27" s="16"/>
      <c r="H27" s="16"/>
      <c r="I27" s="3"/>
    </row>
    <row r="28" spans="1:26" ht="14.65" thickBot="1" x14ac:dyDescent="0.5">
      <c r="A28" s="14"/>
      <c r="B28" s="14"/>
      <c r="C28" s="14"/>
      <c r="D28" s="3"/>
      <c r="E28" s="3"/>
      <c r="F28" s="14"/>
      <c r="G28" s="14"/>
      <c r="H28" s="14"/>
      <c r="I28" s="3"/>
    </row>
    <row r="29" spans="1:26" ht="14.65" thickBot="1" x14ac:dyDescent="0.5">
      <c r="A29" s="14"/>
      <c r="B29" s="14"/>
      <c r="C29" s="14"/>
      <c r="D29" s="6" t="str">
        <f>IF(ISERROR(AVERAGE(ECGLCS7)),"",MROUND(AVERAGE(ECGLCS7),0.5))</f>
        <v/>
      </c>
      <c r="E29" s="3"/>
      <c r="F29" s="14"/>
      <c r="G29" s="14"/>
      <c r="H29" s="14"/>
      <c r="I29" s="6" t="str">
        <f>IF(ISERROR(AVERAGE(ECGLCS8)),"",MROUND(AVERAGE(ECGLCS8),0.5))</f>
        <v/>
      </c>
    </row>
    <row r="30" spans="1:26" x14ac:dyDescent="0.45">
      <c r="A30" s="2" t="s">
        <v>9</v>
      </c>
      <c r="B30" s="2"/>
      <c r="C30" s="2"/>
      <c r="D30" s="2"/>
      <c r="E30" s="2"/>
      <c r="F30" s="2" t="s">
        <v>9</v>
      </c>
      <c r="G30" s="2"/>
      <c r="H30" s="2"/>
      <c r="I30" s="2"/>
    </row>
    <row r="31" spans="1:26" x14ac:dyDescent="0.45">
      <c r="A31" s="16"/>
      <c r="B31" s="16"/>
      <c r="C31" s="16"/>
      <c r="D31" s="3"/>
      <c r="E31" s="3"/>
      <c r="F31" s="16"/>
      <c r="G31" s="16"/>
      <c r="H31" s="16"/>
      <c r="I31" s="3"/>
    </row>
    <row r="32" spans="1:26" ht="14.65" thickBot="1" x14ac:dyDescent="0.5">
      <c r="A32" s="14"/>
      <c r="B32" s="14"/>
      <c r="C32" s="14"/>
      <c r="D32" s="3"/>
      <c r="E32" s="3"/>
      <c r="F32" s="14"/>
      <c r="G32" s="14"/>
      <c r="H32" s="14"/>
      <c r="I32" s="3"/>
    </row>
    <row r="33" spans="1:26" ht="14.65" thickBot="1" x14ac:dyDescent="0.5">
      <c r="A33" s="14"/>
      <c r="B33" s="14"/>
      <c r="C33" s="14"/>
      <c r="D33" s="6" t="str">
        <f>IF(ISERROR(AVERAGE(ECGSOS7)),"",MROUND(AVERAGE(ECGSOS7),0.5))</f>
        <v/>
      </c>
      <c r="E33" s="3"/>
      <c r="F33" s="14"/>
      <c r="G33" s="14"/>
      <c r="H33" s="14"/>
      <c r="I33" s="6" t="str">
        <f>IF(ISERROR(AVERAGE(ECGSOS8)),"",MROUND(AVERAGE(ECGSOS8),0.5))</f>
        <v/>
      </c>
    </row>
    <row r="34" spans="1:26" ht="14.65" thickBot="1" x14ac:dyDescent="0.5">
      <c r="A34" s="2"/>
      <c r="B34" s="2"/>
      <c r="C34" s="2"/>
      <c r="D34" s="2"/>
      <c r="E34" s="2"/>
      <c r="F34" s="2"/>
      <c r="G34" s="2"/>
      <c r="H34" s="2"/>
      <c r="I34" s="2"/>
    </row>
    <row r="35" spans="1:26" ht="15" thickTop="1" thickBot="1" x14ac:dyDescent="0.5">
      <c r="A35" s="2" t="s">
        <v>10</v>
      </c>
      <c r="B35" s="2"/>
      <c r="C35" s="2"/>
      <c r="D35" s="7" t="str">
        <f>IF(ISERROR(AVERAGE(ECGLCS7MOY,ECGSOS7MOY)),"",MROUND(AVERAGE(ECGLCS7MOY,ECGSOS7MOY),0.5))</f>
        <v/>
      </c>
      <c r="E35" s="2"/>
      <c r="F35" s="2" t="s">
        <v>10</v>
      </c>
      <c r="G35" s="2"/>
      <c r="H35" s="2"/>
      <c r="I35" s="7" t="str">
        <f>IF(ISERROR(AVERAGE(ECGLCS8MOY,ECGSOS8MOY)),"",MROUND(AVERAGE(ECGLCS8MOY,ECGSOS8MOY),0.5))</f>
        <v/>
      </c>
    </row>
    <row r="36" spans="1:26" ht="14.65" thickTop="1" x14ac:dyDescent="0.45"/>
    <row r="38" spans="1:26" x14ac:dyDescent="0.45">
      <c r="A38" s="2" t="s">
        <v>11</v>
      </c>
    </row>
    <row r="39" spans="1:26" x14ac:dyDescent="0.45">
      <c r="A39" s="2" t="s">
        <v>12</v>
      </c>
    </row>
    <row r="48" spans="1:26" x14ac:dyDescent="0.45">
      <c r="Z48" s="17">
        <v>6</v>
      </c>
    </row>
    <row r="49" spans="26:26" x14ac:dyDescent="0.45">
      <c r="Z49" s="17">
        <v>5.5</v>
      </c>
    </row>
    <row r="50" spans="26:26" x14ac:dyDescent="0.45">
      <c r="Z50" s="17">
        <v>5</v>
      </c>
    </row>
    <row r="51" spans="26:26" x14ac:dyDescent="0.45">
      <c r="Z51" s="17">
        <v>4.5</v>
      </c>
    </row>
    <row r="52" spans="26:26" x14ac:dyDescent="0.45">
      <c r="Z52" s="17">
        <v>4</v>
      </c>
    </row>
    <row r="53" spans="26:26" x14ac:dyDescent="0.45">
      <c r="Z53" s="17">
        <v>3.5</v>
      </c>
    </row>
    <row r="54" spans="26:26" x14ac:dyDescent="0.45">
      <c r="Z54" s="17">
        <v>3</v>
      </c>
    </row>
    <row r="55" spans="26:26" x14ac:dyDescent="0.45">
      <c r="Z55" s="17">
        <v>2.5</v>
      </c>
    </row>
    <row r="56" spans="26:26" x14ac:dyDescent="0.45">
      <c r="Z56" s="17">
        <v>2</v>
      </c>
    </row>
    <row r="57" spans="26:26" x14ac:dyDescent="0.45">
      <c r="Z57" s="17">
        <v>1.5</v>
      </c>
    </row>
    <row r="58" spans="26:26" x14ac:dyDescent="0.45">
      <c r="Z58" s="17">
        <v>1</v>
      </c>
    </row>
  </sheetData>
  <sheetProtection sheet="1" selectLockedCells="1"/>
  <mergeCells count="9">
    <mergeCell ref="A1:I1"/>
    <mergeCell ref="A5:I5"/>
    <mergeCell ref="A7:C7"/>
    <mergeCell ref="F7:H7"/>
    <mergeCell ref="A25:I25"/>
    <mergeCell ref="D9:D12"/>
    <mergeCell ref="I9:I12"/>
    <mergeCell ref="D16:D19"/>
    <mergeCell ref="I16:I19"/>
  </mergeCells>
  <conditionalFormatting sqref="A10:C10">
    <cfRule type="containsBlanks" dxfId="19" priority="7">
      <formula>LEN(TRIM(A10))=0</formula>
    </cfRule>
    <cfRule type="cellIs" dxfId="18" priority="8" operator="lessThan">
      <formula>4</formula>
    </cfRule>
  </conditionalFormatting>
  <conditionalFormatting sqref="A11:C12">
    <cfRule type="containsBlanks" dxfId="17" priority="11">
      <formula>LEN(TRIM(A11))=0</formula>
    </cfRule>
  </conditionalFormatting>
  <conditionalFormatting sqref="A17:C17 F17:H17 A27:C27 F27:H27 A31:C31 F31:H31">
    <cfRule type="containsBlanks" dxfId="16" priority="18">
      <formula>LEN(TRIM(A17))=0</formula>
    </cfRule>
    <cfRule type="cellIs" dxfId="15" priority="19" operator="lessThan">
      <formula>4</formula>
    </cfRule>
  </conditionalFormatting>
  <conditionalFormatting sqref="A18:C19 F18:H19 A28:C29 F28:H29 D29 I29 A32:C33 F32:H33 D33 I33">
    <cfRule type="containsBlanks" dxfId="14" priority="17">
      <formula>LEN(TRIM(A18))=0</formula>
    </cfRule>
  </conditionalFormatting>
  <conditionalFormatting sqref="D14">
    <cfRule type="cellIs" dxfId="13" priority="4" operator="lessThan">
      <formula>4</formula>
    </cfRule>
  </conditionalFormatting>
  <conditionalFormatting sqref="D21">
    <cfRule type="cellIs" dxfId="12" priority="2" operator="lessThan">
      <formula>4</formula>
    </cfRule>
  </conditionalFormatting>
  <conditionalFormatting sqref="D29 D33 I33 D23 I23 D35 I35">
    <cfRule type="cellIs" dxfId="11" priority="30" operator="lessThan">
      <formula>4</formula>
    </cfRule>
  </conditionalFormatting>
  <conditionalFormatting sqref="F10:H10">
    <cfRule type="containsBlanks" dxfId="10" priority="5">
      <formula>LEN(TRIM(F10))=0</formula>
    </cfRule>
    <cfRule type="cellIs" dxfId="9" priority="6" operator="lessThan">
      <formula>4</formula>
    </cfRule>
  </conditionalFormatting>
  <conditionalFormatting sqref="F11:H12">
    <cfRule type="containsBlanks" dxfId="8" priority="9">
      <formula>LEN(TRIM(F11))=0</formula>
    </cfRule>
  </conditionalFormatting>
  <conditionalFormatting sqref="I14">
    <cfRule type="cellIs" dxfId="7" priority="3" operator="lessThan">
      <formula>4</formula>
    </cfRule>
  </conditionalFormatting>
  <conditionalFormatting sqref="I21">
    <cfRule type="cellIs" dxfId="6" priority="1" operator="lessThan">
      <formula>4</formula>
    </cfRule>
  </conditionalFormatting>
  <conditionalFormatting sqref="I29">
    <cfRule type="cellIs" dxfId="5" priority="20" operator="lessThan">
      <formula>4</formula>
    </cfRule>
  </conditionalFormatting>
  <dataValidations count="1">
    <dataValidation type="list" allowBlank="1" showErrorMessage="1" errorTitle="ERREUR" error="Valeur des notes uniquement entre 1 et 6 par saut de 0.5." sqref="F31:H33 A17:C19 A31:C33 F27:H29 A10:C12 A27:C29 F17:H19 F10:H12" xr:uid="{F90A40E8-FAEA-4DBF-92F7-CB427089947D}">
      <formula1>$Z$48:$Z$58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CF54-4FED-421D-9D1B-92D66E0AA9DE}">
  <dimension ref="A1:V34"/>
  <sheetViews>
    <sheetView showGridLines="0" zoomScaleNormal="100" workbookViewId="0">
      <selection activeCell="D3" sqref="D3"/>
    </sheetView>
  </sheetViews>
  <sheetFormatPr baseColWidth="10" defaultColWidth="11.3984375" defaultRowHeight="14.25" x14ac:dyDescent="0.45"/>
  <cols>
    <col min="1" max="9" width="8.73046875" customWidth="1"/>
  </cols>
  <sheetData>
    <row r="1" spans="1:22" ht="45" customHeight="1" x14ac:dyDescent="0.45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3" spans="1:22" s="5" customFormat="1" ht="25.15" customHeight="1" x14ac:dyDescent="0.45">
      <c r="A3" s="4" t="s">
        <v>1</v>
      </c>
      <c r="D3" s="11"/>
      <c r="E3" s="10"/>
      <c r="F3" s="10"/>
      <c r="G3" s="10"/>
      <c r="H3" s="10"/>
      <c r="I3" s="10"/>
    </row>
    <row r="5" spans="1:22" ht="30" customHeight="1" x14ac:dyDescent="0.45">
      <c r="A5" s="22" t="s">
        <v>2</v>
      </c>
      <c r="B5" s="22"/>
      <c r="C5" s="22"/>
      <c r="D5" s="22"/>
      <c r="E5" s="22"/>
      <c r="F5" s="22"/>
      <c r="G5" s="22"/>
      <c r="H5" s="22"/>
      <c r="I5" s="22"/>
    </row>
    <row r="7" spans="1:22" x14ac:dyDescent="0.45">
      <c r="A7" s="24" t="s">
        <v>19</v>
      </c>
      <c r="B7" s="24"/>
      <c r="C7" s="24"/>
      <c r="D7" s="8" t="s">
        <v>4</v>
      </c>
      <c r="E7" s="9"/>
      <c r="V7" s="12">
        <v>2.5</v>
      </c>
    </row>
    <row r="8" spans="1:22" ht="14.65" thickBot="1" x14ac:dyDescent="0.5">
      <c r="V8" s="12">
        <v>2</v>
      </c>
    </row>
    <row r="9" spans="1:22" ht="14.65" thickBot="1" x14ac:dyDescent="0.5">
      <c r="A9" s="27" t="s">
        <v>3</v>
      </c>
      <c r="B9" s="27"/>
      <c r="C9" s="28"/>
      <c r="D9" s="6" t="str">
        <f>CPS1MOY</f>
        <v/>
      </c>
      <c r="E9" s="2"/>
      <c r="V9" s="12">
        <v>1.5</v>
      </c>
    </row>
    <row r="10" spans="1:22" ht="14.65" thickBot="1" x14ac:dyDescent="0.5">
      <c r="A10" s="27" t="s">
        <v>5</v>
      </c>
      <c r="B10" s="27"/>
      <c r="C10" s="28"/>
      <c r="D10" s="6" t="str">
        <f>CPS2MOY</f>
        <v/>
      </c>
      <c r="E10" s="2"/>
      <c r="V10" s="12">
        <v>1</v>
      </c>
    </row>
    <row r="11" spans="1:22" ht="14.65" thickBot="1" x14ac:dyDescent="0.5">
      <c r="A11" s="27" t="s">
        <v>13</v>
      </c>
      <c r="B11" s="27"/>
      <c r="C11" s="28"/>
      <c r="D11" s="6" t="str">
        <f>CPS3MOY</f>
        <v/>
      </c>
      <c r="E11" s="2"/>
    </row>
    <row r="12" spans="1:22" ht="14.65" thickBot="1" x14ac:dyDescent="0.5">
      <c r="A12" s="27" t="s">
        <v>14</v>
      </c>
      <c r="B12" s="27"/>
      <c r="C12" s="28"/>
      <c r="D12" s="6" t="str">
        <f>CPS4MOY</f>
        <v/>
      </c>
      <c r="E12" s="2"/>
    </row>
    <row r="13" spans="1:22" ht="14.65" thickBot="1" x14ac:dyDescent="0.5">
      <c r="A13" s="27" t="s">
        <v>15</v>
      </c>
      <c r="B13" s="27"/>
      <c r="C13" s="28"/>
      <c r="D13" s="6" t="str">
        <f>[0]!CPS5MOY</f>
        <v/>
      </c>
      <c r="E13" s="2"/>
    </row>
    <row r="14" spans="1:22" ht="14.65" thickBot="1" x14ac:dyDescent="0.5">
      <c r="A14" s="27" t="s">
        <v>16</v>
      </c>
      <c r="B14" s="27"/>
      <c r="C14" s="28"/>
      <c r="D14" s="6" t="str">
        <f>[0]!CPS6MOY</f>
        <v/>
      </c>
      <c r="E14" s="2"/>
    </row>
    <row r="15" spans="1:22" ht="14.65" thickBot="1" x14ac:dyDescent="0.5">
      <c r="A15" s="27" t="s">
        <v>17</v>
      </c>
      <c r="B15" s="27"/>
      <c r="C15" s="28"/>
      <c r="D15" s="6" t="str">
        <f>PELE4_SEMESTRES_78!CPS7MOY</f>
        <v/>
      </c>
      <c r="E15" s="2"/>
    </row>
    <row r="16" spans="1:22" ht="14.65" thickBot="1" x14ac:dyDescent="0.5">
      <c r="A16" s="27" t="s">
        <v>18</v>
      </c>
      <c r="B16" s="27"/>
      <c r="C16" s="28"/>
      <c r="D16" s="6" t="str">
        <f>PELE4_SEMESTRES_78!CPS8MOY</f>
        <v/>
      </c>
      <c r="E16" s="2"/>
    </row>
    <row r="17" spans="1:9" ht="14.65" thickBot="1" x14ac:dyDescent="0.5">
      <c r="A17" s="2"/>
      <c r="B17" s="2"/>
      <c r="C17" s="2"/>
      <c r="D17" s="2"/>
      <c r="E17" s="2"/>
    </row>
    <row r="18" spans="1:9" ht="15" thickTop="1" thickBot="1" x14ac:dyDescent="0.5">
      <c r="A18" s="2" t="s">
        <v>20</v>
      </c>
      <c r="B18" s="2"/>
      <c r="C18" s="2"/>
      <c r="D18" s="7" t="str">
        <f>IF(ISERROR(AVERAGE(D9:D16)),"",MROUND(AVERAGE(D9:D16),0.5))</f>
        <v/>
      </c>
      <c r="E18" s="2"/>
    </row>
    <row r="19" spans="1:9" ht="14.65" thickTop="1" x14ac:dyDescent="0.45"/>
    <row r="20" spans="1:9" s="1" customFormat="1" ht="30" customHeight="1" x14ac:dyDescent="0.65">
      <c r="A20" s="22" t="s">
        <v>7</v>
      </c>
      <c r="B20" s="22"/>
      <c r="C20" s="22"/>
      <c r="D20" s="22"/>
      <c r="E20" s="22"/>
      <c r="F20" s="22"/>
      <c r="G20" s="22"/>
      <c r="H20" s="22"/>
      <c r="I20" s="22"/>
    </row>
    <row r="21" spans="1:9" ht="14.65" thickBot="1" x14ac:dyDescent="0.5"/>
    <row r="22" spans="1:9" ht="14.65" thickBot="1" x14ac:dyDescent="0.5">
      <c r="A22" s="27" t="s">
        <v>3</v>
      </c>
      <c r="B22" s="27"/>
      <c r="C22" s="28"/>
      <c r="D22" s="6" t="str">
        <f>ECGS1MOY</f>
        <v/>
      </c>
    </row>
    <row r="23" spans="1:9" ht="14.65" thickBot="1" x14ac:dyDescent="0.5">
      <c r="A23" s="27" t="s">
        <v>5</v>
      </c>
      <c r="B23" s="27"/>
      <c r="C23" s="28"/>
      <c r="D23" s="6" t="str">
        <f>ECGS2MOY</f>
        <v/>
      </c>
    </row>
    <row r="24" spans="1:9" ht="14.65" thickBot="1" x14ac:dyDescent="0.5">
      <c r="A24" s="27" t="s">
        <v>13</v>
      </c>
      <c r="B24" s="27"/>
      <c r="C24" s="28"/>
      <c r="D24" s="6" t="str">
        <f>ECGS3MOY</f>
        <v/>
      </c>
    </row>
    <row r="25" spans="1:9" ht="14.65" thickBot="1" x14ac:dyDescent="0.5">
      <c r="A25" s="27" t="s">
        <v>14</v>
      </c>
      <c r="B25" s="27"/>
      <c r="C25" s="28"/>
      <c r="D25" s="6" t="str">
        <f>ECGS4MOY</f>
        <v/>
      </c>
    </row>
    <row r="26" spans="1:9" ht="14.65" thickBot="1" x14ac:dyDescent="0.5">
      <c r="A26" s="27" t="s">
        <v>15</v>
      </c>
      <c r="B26" s="27"/>
      <c r="C26" s="28"/>
      <c r="D26" s="6" t="str">
        <f>ECGS5MOY</f>
        <v/>
      </c>
    </row>
    <row r="27" spans="1:9" ht="14.65" thickBot="1" x14ac:dyDescent="0.5">
      <c r="A27" s="27" t="s">
        <v>16</v>
      </c>
      <c r="B27" s="27"/>
      <c r="C27" s="28"/>
      <c r="D27" s="6" t="str">
        <f>ECGS6MOY</f>
        <v/>
      </c>
    </row>
    <row r="28" spans="1:9" ht="14.65" thickBot="1" x14ac:dyDescent="0.5">
      <c r="A28" s="27" t="s">
        <v>17</v>
      </c>
      <c r="B28" s="27"/>
      <c r="C28" s="28"/>
      <c r="D28" s="6" t="str">
        <f>PELE4_SEMESTRES_78!ECGS7MOY</f>
        <v/>
      </c>
    </row>
    <row r="29" spans="1:9" ht="14.65" thickBot="1" x14ac:dyDescent="0.5">
      <c r="A29" s="27" t="s">
        <v>18</v>
      </c>
      <c r="B29" s="27"/>
      <c r="C29" s="28"/>
      <c r="D29" s="6" t="str">
        <f>PELE4_SEMESTRES_78!ECGS8MOY</f>
        <v/>
      </c>
      <c r="E29" s="2"/>
      <c r="F29" s="2"/>
      <c r="G29" s="2"/>
      <c r="H29" s="2"/>
      <c r="I29" s="2"/>
    </row>
    <row r="30" spans="1:9" ht="14.65" thickBot="1" x14ac:dyDescent="0.5">
      <c r="A30" s="2"/>
      <c r="B30" s="2"/>
      <c r="C30" s="2"/>
      <c r="D30" s="2"/>
      <c r="E30" s="2"/>
    </row>
    <row r="31" spans="1:9" ht="15" thickTop="1" thickBot="1" x14ac:dyDescent="0.5">
      <c r="A31" s="2" t="s">
        <v>21</v>
      </c>
      <c r="B31" s="2"/>
      <c r="C31" s="2"/>
      <c r="D31" s="7" t="str">
        <f>IF(ISERROR(AVERAGE(D22:D29)),"",MROUND(AVERAGE(D22:D29),0.5))</f>
        <v/>
      </c>
    </row>
    <row r="32" spans="1:9" ht="14.65" thickTop="1" x14ac:dyDescent="0.45"/>
    <row r="33" spans="1:1" x14ac:dyDescent="0.45">
      <c r="A33" s="2" t="s">
        <v>11</v>
      </c>
    </row>
    <row r="34" spans="1:1" x14ac:dyDescent="0.45">
      <c r="A34" s="2" t="s">
        <v>12</v>
      </c>
    </row>
  </sheetData>
  <sheetProtection sheet="1" selectLockedCells="1"/>
  <mergeCells count="20">
    <mergeCell ref="A27:C27"/>
    <mergeCell ref="A28:C28"/>
    <mergeCell ref="A29:C29"/>
    <mergeCell ref="A22:C22"/>
    <mergeCell ref="A23:C23"/>
    <mergeCell ref="A24:C24"/>
    <mergeCell ref="A25:C25"/>
    <mergeCell ref="A26:C26"/>
    <mergeCell ref="A1:I1"/>
    <mergeCell ref="A5:I5"/>
    <mergeCell ref="A7:C7"/>
    <mergeCell ref="A20:I20"/>
    <mergeCell ref="A9:C9"/>
    <mergeCell ref="A10:C10"/>
    <mergeCell ref="A11:C11"/>
    <mergeCell ref="A12:C12"/>
    <mergeCell ref="A13:C13"/>
    <mergeCell ref="A14:C14"/>
    <mergeCell ref="A15:C15"/>
    <mergeCell ref="A16:C16"/>
  </mergeCells>
  <conditionalFormatting sqref="D9:D16">
    <cfRule type="containsBlanks" dxfId="4" priority="4">
      <formula>LEN(TRIM(D9))=0</formula>
    </cfRule>
    <cfRule type="containsBlanks" priority="5">
      <formula>LEN(TRIM(D9))=0</formula>
    </cfRule>
    <cfRule type="cellIs" dxfId="3" priority="7" operator="lessThan">
      <formula>4</formula>
    </cfRule>
  </conditionalFormatting>
  <conditionalFormatting sqref="D18 D31">
    <cfRule type="cellIs" dxfId="2" priority="8" operator="lessThan">
      <formula>4</formula>
    </cfRule>
  </conditionalFormatting>
  <conditionalFormatting sqref="D22:D29">
    <cfRule type="containsBlanks" dxfId="1" priority="1">
      <formula>LEN(TRIM(D22))=0</formula>
    </cfRule>
    <cfRule type="containsBlanks" priority="2">
      <formula>LEN(TRIM(D22))=0</formula>
    </cfRule>
    <cfRule type="cellIs" dxfId="0" priority="3" operator="lessThan">
      <formula>4</formula>
    </cfRule>
  </conditionalFormatting>
  <dataValidations disablePrompts="1" count="1">
    <dataValidation type="list" allowBlank="1" showErrorMessage="1" errorTitle="ERREUR" error="Valeur des notes uniquement entre 1 et 6 par saut de 0.5." sqref="B11:C11 B26:C26 B24:C24 B13:C13" xr:uid="{4B5B6145-CF11-4C43-8048-FE3271339623}">
      <formula1>#REF!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C8AB-05B1-4391-9816-BAA6BC768905}">
  <dimension ref="A1:G1"/>
  <sheetViews>
    <sheetView showGridLines="0" zoomScaleNormal="100" workbookViewId="0">
      <selection sqref="A1:G1"/>
    </sheetView>
  </sheetViews>
  <sheetFormatPr baseColWidth="10" defaultColWidth="11.3984375" defaultRowHeight="14.25" x14ac:dyDescent="0.45"/>
  <sheetData>
    <row r="1" spans="1:7" x14ac:dyDescent="0.45">
      <c r="A1" s="29" t="str">
        <f>HYPERLINK("https://orchid-saturnalia-96f.notion.site/Planificateur-trice-lectricien-ne-CFC-21bc8306527781b2a504f73a2f95d648", "EIT.SWISS PELE")</f>
        <v>EIT.SWISS PELE</v>
      </c>
      <c r="B1" s="29"/>
      <c r="C1" s="29"/>
      <c r="D1" s="29"/>
      <c r="E1" s="29"/>
      <c r="F1" s="29"/>
      <c r="G1" s="29"/>
    </row>
  </sheetData>
  <sheetProtection sheet="1" objects="1" scenarios="1"/>
  <mergeCells count="1">
    <mergeCell ref="A1:G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e70d26-bf48-4cf6-8ac1-a02ba5208bf1">
      <Terms xmlns="http://schemas.microsoft.com/office/infopath/2007/PartnerControls"/>
    </lcf76f155ced4ddcb4097134ff3c332f>
    <TaxCatchAll xmlns="28ecda99-baeb-4159-826c-8d3ebe501c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262808F74C1A479C3BB44A303B6A0F" ma:contentTypeVersion="17" ma:contentTypeDescription="Crée un document." ma:contentTypeScope="" ma:versionID="bba3fdba579c90fdf017b41b7810ec83">
  <xsd:schema xmlns:xsd="http://www.w3.org/2001/XMLSchema" xmlns:xs="http://www.w3.org/2001/XMLSchema" xmlns:p="http://schemas.microsoft.com/office/2006/metadata/properties" xmlns:ns2="81e70d26-bf48-4cf6-8ac1-a02ba5208bf1" xmlns:ns3="28ecda99-baeb-4159-826c-8d3ebe501c98" targetNamespace="http://schemas.microsoft.com/office/2006/metadata/properties" ma:root="true" ma:fieldsID="983b165c06fe95fdbadfc26f9de32b2f" ns2:_="" ns3:_="">
    <xsd:import namespace="81e70d26-bf48-4cf6-8ac1-a02ba5208bf1"/>
    <xsd:import namespace="28ecda99-baeb-4159-826c-8d3ebe501c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70d26-bf48-4cf6-8ac1-a02ba5208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cda99-baeb-4159-826c-8d3ebe501c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eaf6b-057b-4eab-85b3-0e4652cb011f}" ma:internalName="TaxCatchAll" ma:showField="CatchAllData" ma:web="28ecda99-baeb-4159-826c-8d3ebe501c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CF98B2-C52E-4BB0-82DD-C3B764D6014B}">
  <ds:schemaRefs>
    <ds:schemaRef ds:uri="http://schemas.microsoft.com/office/2006/metadata/properties"/>
    <ds:schemaRef ds:uri="http://schemas.microsoft.com/office/infopath/2007/PartnerControls"/>
    <ds:schemaRef ds:uri="81e70d26-bf48-4cf6-8ac1-a02ba5208bf1"/>
    <ds:schemaRef ds:uri="28ecda99-baeb-4159-826c-8d3ebe501c98"/>
  </ds:schemaRefs>
</ds:datastoreItem>
</file>

<file path=customXml/itemProps2.xml><?xml version="1.0" encoding="utf-8"?>
<ds:datastoreItem xmlns:ds="http://schemas.openxmlformats.org/officeDocument/2006/customXml" ds:itemID="{57A0D446-CB32-4EAB-9869-4005CB819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C3B35B-CC57-478D-95C3-19406B6E537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146</vt:i4>
      </vt:variant>
    </vt:vector>
  </HeadingPairs>
  <TitlesOfParts>
    <vt:vector size="152" baseType="lpstr">
      <vt:lpstr>PELE1_SEMESTRES_12</vt:lpstr>
      <vt:lpstr>PELE2_SEMESTRES_34</vt:lpstr>
      <vt:lpstr>PELE3_SEMESTRES_56</vt:lpstr>
      <vt:lpstr>PELE4_SEMESTRES_78</vt:lpstr>
      <vt:lpstr>CP_ECG_PELE_BILAN</vt:lpstr>
      <vt:lpstr>EIT.SWISS PELE</vt:lpstr>
      <vt:lpstr>CPS1MOY</vt:lpstr>
      <vt:lpstr>CPS2MOY</vt:lpstr>
      <vt:lpstr>CPS3MOY</vt:lpstr>
      <vt:lpstr>CPS4MOY</vt:lpstr>
      <vt:lpstr>CPS5MOY</vt:lpstr>
      <vt:lpstr>CPS6MOY</vt:lpstr>
      <vt:lpstr>PELE4_SEMESTRES_78!CPS7MOY</vt:lpstr>
      <vt:lpstr>PELE4_SEMESTRES_78!CPS8MOY</vt:lpstr>
      <vt:lpstr>DCOAP11S1</vt:lpstr>
      <vt:lpstr>DCOAP11S1MOY</vt:lpstr>
      <vt:lpstr>DCOAP11S2</vt:lpstr>
      <vt:lpstr>DCOAP11S2MOY</vt:lpstr>
      <vt:lpstr>DCOAP15S1</vt:lpstr>
      <vt:lpstr>DCOAP15S1MOY</vt:lpstr>
      <vt:lpstr>DCOAP15S2</vt:lpstr>
      <vt:lpstr>DCOAP15S2MOY</vt:lpstr>
      <vt:lpstr>DCOAP21S3</vt:lpstr>
      <vt:lpstr>DCOAP21S3MOY</vt:lpstr>
      <vt:lpstr>DCOAP21S4</vt:lpstr>
      <vt:lpstr>DCOAP21S4MOY</vt:lpstr>
      <vt:lpstr>DCOAP25S3</vt:lpstr>
      <vt:lpstr>DCOAP25S3MOY</vt:lpstr>
      <vt:lpstr>DCOAP25S4</vt:lpstr>
      <vt:lpstr>DCOAP25S4MOY</vt:lpstr>
      <vt:lpstr>DCOAS1</vt:lpstr>
      <vt:lpstr>DCOAS1MOY</vt:lpstr>
      <vt:lpstr>DCOAS2</vt:lpstr>
      <vt:lpstr>DCOAS2MOY</vt:lpstr>
      <vt:lpstr>DCOAS3</vt:lpstr>
      <vt:lpstr>DCOAS3MOY</vt:lpstr>
      <vt:lpstr>DCOAS4</vt:lpstr>
      <vt:lpstr>DCOAS4MOY</vt:lpstr>
      <vt:lpstr>DCOBC12S1</vt:lpstr>
      <vt:lpstr>DCOBC12S1MOY</vt:lpstr>
      <vt:lpstr>DCOBC12S2</vt:lpstr>
      <vt:lpstr>DCOBC12S2MOY</vt:lpstr>
      <vt:lpstr>DCOBC16S1</vt:lpstr>
      <vt:lpstr>DCOBC16S1MOY</vt:lpstr>
      <vt:lpstr>DCOBC16S2</vt:lpstr>
      <vt:lpstr>DCOBC16S2MOY</vt:lpstr>
      <vt:lpstr>DCOBC26S3</vt:lpstr>
      <vt:lpstr>DCOBC26S3MOY</vt:lpstr>
      <vt:lpstr>DCOBC26S4</vt:lpstr>
      <vt:lpstr>DCOBC26S4MOY</vt:lpstr>
      <vt:lpstr>DCOBS1</vt:lpstr>
      <vt:lpstr>DCOBS1MOY</vt:lpstr>
      <vt:lpstr>DCOBS2</vt:lpstr>
      <vt:lpstr>DCOBS2MOY</vt:lpstr>
      <vt:lpstr>DCOBS3</vt:lpstr>
      <vt:lpstr>DCOBS3MOY</vt:lpstr>
      <vt:lpstr>DCOBS4</vt:lpstr>
      <vt:lpstr>DCOBS4MOY</vt:lpstr>
      <vt:lpstr>DCOBS5</vt:lpstr>
      <vt:lpstr>DCOBS5MOY</vt:lpstr>
      <vt:lpstr>DCOBS6</vt:lpstr>
      <vt:lpstr>DCOBS6MOY</vt:lpstr>
      <vt:lpstr>DCOBS7</vt:lpstr>
      <vt:lpstr>DCOBS7MOY</vt:lpstr>
      <vt:lpstr>DCOBS8</vt:lpstr>
      <vt:lpstr>DCOBS8MOY</vt:lpstr>
      <vt:lpstr>DCOCC22S3</vt:lpstr>
      <vt:lpstr>DCOCC22S3MOY</vt:lpstr>
      <vt:lpstr>DCOCC22S4</vt:lpstr>
      <vt:lpstr>DCOCC22S4MOY</vt:lpstr>
      <vt:lpstr>DCODE23S3</vt:lpstr>
      <vt:lpstr>DCODE23S3MOY</vt:lpstr>
      <vt:lpstr>DCODE23S4</vt:lpstr>
      <vt:lpstr>DCODE23S4MOY</vt:lpstr>
      <vt:lpstr>DCODE24S3</vt:lpstr>
      <vt:lpstr>DCODE24S3MOY</vt:lpstr>
      <vt:lpstr>DCODE24S4</vt:lpstr>
      <vt:lpstr>DCODE24S4MOY</vt:lpstr>
      <vt:lpstr>DCODS3</vt:lpstr>
      <vt:lpstr>DCODS3MOY</vt:lpstr>
      <vt:lpstr>DCODS4</vt:lpstr>
      <vt:lpstr>DCODS4MOY</vt:lpstr>
      <vt:lpstr>DCODS5</vt:lpstr>
      <vt:lpstr>DCODS5MOY</vt:lpstr>
      <vt:lpstr>DCODS6</vt:lpstr>
      <vt:lpstr>DCODS6MOY</vt:lpstr>
      <vt:lpstr>DCODS7</vt:lpstr>
      <vt:lpstr>DCODS7MOY</vt:lpstr>
      <vt:lpstr>DCODS8</vt:lpstr>
      <vt:lpstr>DCODS8MOY</vt:lpstr>
      <vt:lpstr>DCOEF13S1MOY</vt:lpstr>
      <vt:lpstr>DCOEF13S2MOY</vt:lpstr>
      <vt:lpstr>DCOEF14S1MOY</vt:lpstr>
      <vt:lpstr>DCOEF14S2MOY</vt:lpstr>
      <vt:lpstr>DCOES1</vt:lpstr>
      <vt:lpstr>DCOES1MOY</vt:lpstr>
      <vt:lpstr>DCOES2</vt:lpstr>
      <vt:lpstr>DCOES2MOY</vt:lpstr>
      <vt:lpstr>DCOS1</vt:lpstr>
      <vt:lpstr>DCOS2</vt:lpstr>
      <vt:lpstr>ECGLCS1</vt:lpstr>
      <vt:lpstr>ECGLCS1MOY</vt:lpstr>
      <vt:lpstr>ECGLCS2</vt:lpstr>
      <vt:lpstr>ECGLCS2MOY</vt:lpstr>
      <vt:lpstr>PELE1_SEMESTRES_12!ECGLCS3</vt:lpstr>
      <vt:lpstr>ECGLCS3</vt:lpstr>
      <vt:lpstr>ECGLCS3MOY</vt:lpstr>
      <vt:lpstr>ECGLCS4</vt:lpstr>
      <vt:lpstr>ECGLCS4MOY</vt:lpstr>
      <vt:lpstr>ECGLCS5</vt:lpstr>
      <vt:lpstr>ECGLCS5MOY</vt:lpstr>
      <vt:lpstr>ECGLCS6</vt:lpstr>
      <vt:lpstr>ECGLCS6MOY</vt:lpstr>
      <vt:lpstr>PELE4_SEMESTRES_78!ECGLCS7</vt:lpstr>
      <vt:lpstr>PELE4_SEMESTRES_78!ECGLCS7MOY</vt:lpstr>
      <vt:lpstr>PELE4_SEMESTRES_78!ECGLCS8</vt:lpstr>
      <vt:lpstr>PELE4_SEMESTRES_78!ECGLCS8MOY</vt:lpstr>
      <vt:lpstr>ECGS1MOY</vt:lpstr>
      <vt:lpstr>ECGS2MOY</vt:lpstr>
      <vt:lpstr>ECGS3MOY</vt:lpstr>
      <vt:lpstr>ECGS4MOY</vt:lpstr>
      <vt:lpstr>ECGS5MOY</vt:lpstr>
      <vt:lpstr>ECGS6MOY</vt:lpstr>
      <vt:lpstr>PELE4_SEMESTRES_78!ECGS7MOY</vt:lpstr>
      <vt:lpstr>PELE4_SEMESTRES_78!ECGS8MOY</vt:lpstr>
      <vt:lpstr>ECGSOS1</vt:lpstr>
      <vt:lpstr>ECGSOS1MOY</vt:lpstr>
      <vt:lpstr>ECGSOS2</vt:lpstr>
      <vt:lpstr>ECGSOS2MOY</vt:lpstr>
      <vt:lpstr>PELE1_SEMESTRES_12!ECGSOS3</vt:lpstr>
      <vt:lpstr>ECGSOS3</vt:lpstr>
      <vt:lpstr>ECGSOS3MOY</vt:lpstr>
      <vt:lpstr>ECGSOS4</vt:lpstr>
      <vt:lpstr>ECGSOS4MOY</vt:lpstr>
      <vt:lpstr>ECGSOS5</vt:lpstr>
      <vt:lpstr>ECGSOS5MOY</vt:lpstr>
      <vt:lpstr>ECGSOS6</vt:lpstr>
      <vt:lpstr>ECGSOS6MOY</vt:lpstr>
      <vt:lpstr>PELE4_SEMESTRES_78!ECGSOS7</vt:lpstr>
      <vt:lpstr>PELE4_SEMESTRES_78!ECGSOS7MOY</vt:lpstr>
      <vt:lpstr>PELE4_SEMESTRES_78!ECGSOS8</vt:lpstr>
      <vt:lpstr>PELE4_SEMESTRES_78!ECGSOS8MOY</vt:lpstr>
      <vt:lpstr>CP_ECG_PELE_BILAN!Print_Area</vt:lpstr>
      <vt:lpstr>PELE1_SEMESTRES_12!Print_Area</vt:lpstr>
      <vt:lpstr>PELE2_SEMESTRES_34!Print_Area</vt:lpstr>
      <vt:lpstr>PELE3_SEMESTRES_56!Print_Area</vt:lpstr>
      <vt:lpstr>PELE4_SEMESTRES_78!Print_Area</vt:lpstr>
      <vt:lpstr>CP_ECG_PELE_BILAN!Zone_d_impression</vt:lpstr>
      <vt:lpstr>PELE1_SEMESTRES_12!Zone_d_impression</vt:lpstr>
      <vt:lpstr>PELE2_SEMESTRES_34!Zone_d_impression</vt:lpstr>
      <vt:lpstr>PELE3_SEMESTRES_56!Zone_d_impression</vt:lpstr>
      <vt:lpstr>PELE4_SEMESTRES_78!Zone_d_impression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Maccaud</dc:creator>
  <cp:keywords/>
  <dc:description/>
  <cp:lastModifiedBy>Olivier Maccaud</cp:lastModifiedBy>
  <cp:revision/>
  <dcterms:created xsi:type="dcterms:W3CDTF">2024-03-11T19:14:30Z</dcterms:created>
  <dcterms:modified xsi:type="dcterms:W3CDTF">2026-05-26T11:59:34Z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0x010100F7262808F74C1A479C3BB44A303B6A0F</vt:lpwstr>
  </property>
  <property fmtid="{D5CDD505-2E9C-101B-9397-08002B2CF9AE}" pid="3" name="MediaServiceImageTags">
    <vt:lpwstr/>
  </property>
</Properties>
</file>